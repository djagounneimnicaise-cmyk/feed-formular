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ORDINATEUR\DOCUMENTS\Documents personnels\PRAVET\Formulation aliment\"/>
    </mc:Choice>
  </mc:AlternateContent>
  <bookViews>
    <workbookView xWindow="-120" yWindow="-120" windowWidth="20730" windowHeight="11310"/>
  </bookViews>
  <sheets>
    <sheet name="Formular" sheetId="5" r:id="rId1"/>
    <sheet name="Base_bromato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8" i="5" l="1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5" i="5"/>
  <c r="L7" i="5"/>
  <c r="L6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5" i="5"/>
  <c r="J15" i="5" l="1"/>
  <c r="Z29" i="5"/>
  <c r="J31" i="5"/>
  <c r="R29" i="5"/>
  <c r="J23" i="5"/>
  <c r="AH29" i="5"/>
  <c r="AT29" i="5"/>
  <c r="AL29" i="5"/>
  <c r="J27" i="5"/>
  <c r="AD29" i="5"/>
  <c r="J19" i="5"/>
  <c r="V29" i="5"/>
  <c r="J11" i="5"/>
  <c r="J13" i="5"/>
  <c r="J17" i="5"/>
  <c r="J21" i="5"/>
  <c r="J25" i="5"/>
  <c r="J29" i="5"/>
  <c r="AN29" i="5"/>
  <c r="AR29" i="5"/>
  <c r="AV29" i="5"/>
  <c r="N29" i="5"/>
  <c r="J14" i="5"/>
  <c r="J22" i="5"/>
  <c r="J30" i="5"/>
  <c r="J38" i="5"/>
  <c r="J5" i="5"/>
  <c r="J6" i="5"/>
  <c r="J7" i="5"/>
  <c r="O29" i="5"/>
  <c r="J9" i="5"/>
  <c r="J10" i="5"/>
  <c r="J35" i="5"/>
  <c r="J39" i="5"/>
  <c r="J18" i="5"/>
  <c r="J26" i="5"/>
  <c r="J34" i="5"/>
  <c r="J12" i="5"/>
  <c r="W29" i="5"/>
  <c r="J20" i="5"/>
  <c r="AE29" i="5"/>
  <c r="J28" i="5"/>
  <c r="J32" i="5"/>
  <c r="J36" i="5"/>
  <c r="AU29" i="5"/>
  <c r="AQ29" i="5"/>
  <c r="AI29" i="5"/>
  <c r="AA29" i="5"/>
  <c r="S29" i="5"/>
  <c r="J8" i="5"/>
  <c r="J24" i="5"/>
  <c r="J16" i="5"/>
  <c r="J40" i="5"/>
  <c r="AP29" i="5"/>
  <c r="AM29" i="5"/>
  <c r="J37" i="5"/>
  <c r="L29" i="5"/>
  <c r="AS29" i="5"/>
  <c r="AO29" i="5"/>
  <c r="AK29" i="5"/>
  <c r="AG29" i="5"/>
  <c r="AC29" i="5"/>
  <c r="Y29" i="5"/>
  <c r="U29" i="5"/>
  <c r="Q29" i="5"/>
  <c r="M29" i="5"/>
  <c r="J41" i="5"/>
  <c r="J33" i="5"/>
  <c r="AJ29" i="5"/>
  <c r="AF29" i="5"/>
  <c r="AB29" i="5"/>
  <c r="X29" i="5"/>
  <c r="T29" i="5"/>
  <c r="P29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5" i="5"/>
  <c r="H4" i="5"/>
  <c r="D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30" i="5" l="1"/>
  <c r="E30" i="5" s="1"/>
</calcChain>
</file>

<file path=xl/sharedStrings.xml><?xml version="1.0" encoding="utf-8"?>
<sst xmlns="http://schemas.openxmlformats.org/spreadsheetml/2006/main" count="496" uniqueCount="263">
  <si>
    <t>Taux (%)</t>
  </si>
  <si>
    <t>Coût</t>
  </si>
  <si>
    <t>EM(kcal/Kg)</t>
  </si>
  <si>
    <t>PB(%)</t>
  </si>
  <si>
    <t>Lys(%)</t>
  </si>
  <si>
    <t>Mét (%)</t>
  </si>
  <si>
    <t>Mét+Cys (%)</t>
  </si>
  <si>
    <t>Trp (%)</t>
  </si>
  <si>
    <t>Thr (%)</t>
  </si>
  <si>
    <t>P (%)</t>
  </si>
  <si>
    <t>Ca (%)</t>
  </si>
  <si>
    <t>Na (%)</t>
  </si>
  <si>
    <t>Val (%)</t>
  </si>
  <si>
    <t>Isl (%)</t>
  </si>
  <si>
    <t>A. Linol (%)</t>
  </si>
  <si>
    <t>Chol (mg/Kg)</t>
  </si>
  <si>
    <t>A. folique (mg/Kg)</t>
  </si>
  <si>
    <t>Fer (mg/Kg)</t>
  </si>
  <si>
    <t>Iode (mg/Kg)</t>
  </si>
  <si>
    <t>Sélénium (mg/Kg)</t>
  </si>
  <si>
    <t>A.Panto (mg/Kg)</t>
  </si>
  <si>
    <t>Mn (mg/Kg)</t>
  </si>
  <si>
    <t>Zn (mg/Kg)</t>
  </si>
  <si>
    <t>Cu (mg/Kg)</t>
  </si>
  <si>
    <t>A.nico(mg/Kg)</t>
  </si>
  <si>
    <t>Vit B1 (mg/Kg)</t>
  </si>
  <si>
    <t>Vit B2 (mg/Kg)</t>
  </si>
  <si>
    <t>Vit B6 (mg/Kg)</t>
  </si>
  <si>
    <t>Vit B12 (mg/Kg)</t>
  </si>
  <si>
    <t>Vit E (IU/kg)</t>
  </si>
  <si>
    <t>Vit D3 (IU/kg)</t>
  </si>
  <si>
    <t>Vit K (IU/kg)</t>
  </si>
  <si>
    <t>Vit A (IU/kg)</t>
  </si>
  <si>
    <t>Son de blé</t>
  </si>
  <si>
    <t>Niébé grain</t>
  </si>
  <si>
    <t>Soja grain torifié</t>
  </si>
  <si>
    <t>Tourteau de coton</t>
  </si>
  <si>
    <t>Tourteau de palmixte</t>
  </si>
  <si>
    <t>Ingrédients alimentaires</t>
  </si>
  <si>
    <t>Farine d'os</t>
  </si>
  <si>
    <t>Cl (g/Kg)</t>
  </si>
  <si>
    <t>Huile de palme (Rouge)</t>
  </si>
  <si>
    <t>TOTAL</t>
  </si>
  <si>
    <t>Arg (g/Kg)</t>
  </si>
  <si>
    <t>K (g/Kg)</t>
  </si>
  <si>
    <t>Fibres crues (%)</t>
  </si>
  <si>
    <t>Matières grasses (%)</t>
  </si>
  <si>
    <t xml:space="preserve">Concentré rearer 5% </t>
  </si>
  <si>
    <t>Cobalt (mg/Kg)</t>
  </si>
  <si>
    <t>Grain de Maïs </t>
  </si>
  <si>
    <t>Son de maïs </t>
  </si>
  <si>
    <t>Grain de mil </t>
  </si>
  <si>
    <t>Grain de Sorgho </t>
  </si>
  <si>
    <t>Son cubé </t>
  </si>
  <si>
    <t xml:space="preserve">Huile d'arachide </t>
  </si>
  <si>
    <t>Tourteau d'arachide </t>
  </si>
  <si>
    <t> Tourteau de soja 46</t>
  </si>
  <si>
    <t>F. de poisson non gras </t>
  </si>
  <si>
    <t> Méthionine </t>
  </si>
  <si>
    <t xml:space="preserve"> Lysine</t>
  </si>
  <si>
    <t> Coquilles</t>
  </si>
  <si>
    <t>Sel </t>
  </si>
  <si>
    <t>Concentré chair 5%</t>
  </si>
  <si>
    <t xml:space="preserve"> Concentré chair 10%</t>
  </si>
  <si>
    <t>Concentré Ponte 5% jaunissant </t>
  </si>
  <si>
    <t>Matières premières</t>
  </si>
  <si>
    <t>Composition</t>
  </si>
  <si>
    <t>Mention</t>
  </si>
  <si>
    <t>Norms</t>
  </si>
  <si>
    <t>Results</t>
  </si>
  <si>
    <t>Compositions</t>
  </si>
  <si>
    <t>Formulation de l'aliment volaille</t>
  </si>
  <si>
    <t>Type d'aliment</t>
  </si>
  <si>
    <t>Demarrage ponte</t>
  </si>
  <si>
    <t>Demarrage chair</t>
  </si>
  <si>
    <t>Croissance chair</t>
  </si>
  <si>
    <t>Croissance ponte</t>
  </si>
  <si>
    <t>Finition chair</t>
  </si>
  <si>
    <t xml:space="preserve">Poulette </t>
  </si>
  <si>
    <t>Préponte</t>
  </si>
  <si>
    <t>Ponte 1</t>
  </si>
  <si>
    <t>Ponte 2</t>
  </si>
  <si>
    <t>Prédémarrage</t>
  </si>
  <si>
    <t>Source INRAE</t>
  </si>
  <si>
    <t>2950-3000</t>
  </si>
  <si>
    <t>21-22</t>
  </si>
  <si>
    <t>3,5-5</t>
  </si>
  <si>
    <t>1,20-1,25</t>
  </si>
  <si>
    <t>0,55-0,58</t>
  </si>
  <si>
    <t>0,90-0,95</t>
  </si>
  <si>
    <t>0,82-0,85</t>
  </si>
  <si>
    <t>0,23-0,25</t>
  </si>
  <si>
    <t>1,05-1,10</t>
  </si>
  <si>
    <t>0,48-0,50</t>
  </si>
  <si>
    <t>0,16-0,18</t>
  </si>
  <si>
    <t>0,15-0,18</t>
  </si>
  <si>
    <t>40-60</t>
  </si>
  <si>
    <t>80-100</t>
  </si>
  <si>
    <t>70-80</t>
  </si>
  <si>
    <t>60-80</t>
  </si>
  <si>
    <t>0,8-1,2</t>
  </si>
  <si>
    <t>0,25-0,30</t>
  </si>
  <si>
    <t>0,3-0,5</t>
  </si>
  <si>
    <t>0,85-0,90</t>
  </si>
  <si>
    <t>0,6-0,8</t>
  </si>
  <si>
    <t>12000-15000</t>
  </si>
  <si>
    <t>2,5-3</t>
  </si>
  <si>
    <t>0,02-0,03</t>
  </si>
  <si>
    <t>3000-3500</t>
  </si>
  <si>
    <t>30-40</t>
  </si>
  <si>
    <t>2,5-3,5</t>
  </si>
  <si>
    <t>1400-1600</t>
  </si>
  <si>
    <t>1,0-1,2</t>
  </si>
  <si>
    <t>6-8</t>
  </si>
  <si>
    <t>4-5</t>
  </si>
  <si>
    <t>12-15</t>
  </si>
  <si>
    <t>8-10</t>
  </si>
  <si>
    <t>max 3</t>
  </si>
  <si>
    <t>min 1,5</t>
  </si>
  <si>
    <t>2950-2975</t>
  </si>
  <si>
    <t>20-21</t>
  </si>
  <si>
    <t>3-5</t>
  </si>
  <si>
    <t>1,4-2</t>
  </si>
  <si>
    <t>2850-2875</t>
  </si>
  <si>
    <t>3-6</t>
  </si>
  <si>
    <t>18-20</t>
  </si>
  <si>
    <t>0,98-1,03</t>
  </si>
  <si>
    <t>0,45-0,47</t>
  </si>
  <si>
    <t>0,76-0,80</t>
  </si>
  <si>
    <t>0,66-0,69</t>
  </si>
  <si>
    <t>0,194-0,207</t>
  </si>
  <si>
    <t>0,90-1,10</t>
  </si>
  <si>
    <t>0,42-0,44</t>
  </si>
  <si>
    <t>0,15-0,16</t>
  </si>
  <si>
    <t>1,0-1,4</t>
  </si>
  <si>
    <t>2800-2850</t>
  </si>
  <si>
    <t>2750-2800</t>
  </si>
  <si>
    <t>16,8-17,5</t>
  </si>
  <si>
    <t>17,5-18,5</t>
  </si>
  <si>
    <t>16-17</t>
  </si>
  <si>
    <t>2,5-4</t>
  </si>
  <si>
    <t>2,5-4,5</t>
  </si>
  <si>
    <t>4-6</t>
  </si>
  <si>
    <t>4-6,5</t>
  </si>
  <si>
    <t>0,74-0,78</t>
  </si>
  <si>
    <t>0,80-0,84</t>
  </si>
  <si>
    <t>0,75-0,80</t>
  </si>
  <si>
    <t>0,33-0,35</t>
  </si>
  <si>
    <t>0,40-0,42</t>
  </si>
  <si>
    <t>0,45-0,48</t>
  </si>
  <si>
    <t>0,60-0,63</t>
  </si>
  <si>
    <t>0,67-0,70</t>
  </si>
  <si>
    <t>0,68-0,72</t>
  </si>
  <si>
    <t>0,50-0,53</t>
  </si>
  <si>
    <t>0,56-0,59</t>
  </si>
  <si>
    <t>0,62-0,66</t>
  </si>
  <si>
    <t>0,55-0,66</t>
  </si>
  <si>
    <t>0,168-0,175</t>
  </si>
  <si>
    <t>0,181-0,190</t>
  </si>
  <si>
    <t>0,19-0,21</t>
  </si>
  <si>
    <t>0,17-0,19</t>
  </si>
  <si>
    <t>0,90-1,0</t>
  </si>
  <si>
    <t>0,5-0,6</t>
  </si>
  <si>
    <t>2-2,10</t>
  </si>
  <si>
    <t>3,8-4,1</t>
  </si>
  <si>
    <t>4-4,4</t>
  </si>
  <si>
    <t>0,36-0,38</t>
  </si>
  <si>
    <t>0,38-0,42</t>
  </si>
  <si>
    <t>0,32-0,36</t>
  </si>
  <si>
    <t>0,7-0,75</t>
  </si>
  <si>
    <t>0,62-0,68</t>
  </si>
  <si>
    <t>1,5-2,0</t>
  </si>
  <si>
    <t>1,2-1,5</t>
  </si>
  <si>
    <t>0,5-0,7</t>
  </si>
  <si>
    <t>10000-12000</t>
  </si>
  <si>
    <t>2-2,5</t>
  </si>
  <si>
    <t>20-30</t>
  </si>
  <si>
    <t>9000-11000</t>
  </si>
  <si>
    <t>1,8-2,2</t>
  </si>
  <si>
    <t>5,5-7</t>
  </si>
  <si>
    <t>4,5-6</t>
  </si>
  <si>
    <t>3000-3300</t>
  </si>
  <si>
    <t>15-25</t>
  </si>
  <si>
    <t>1200-1400</t>
  </si>
  <si>
    <t>1000-1200</t>
  </si>
  <si>
    <t>0,8-1,0</t>
  </si>
  <si>
    <t>35-45</t>
  </si>
  <si>
    <t>60-75</t>
  </si>
  <si>
    <t>60-70</t>
  </si>
  <si>
    <t>0,6-1,0</t>
  </si>
  <si>
    <t>0,20-0,25</t>
  </si>
  <si>
    <t>0,25-0,35</t>
  </si>
  <si>
    <t>0,20-0,30</t>
  </si>
  <si>
    <t>10-12</t>
  </si>
  <si>
    <t>3,5-4,5</t>
  </si>
  <si>
    <t>3-4</t>
  </si>
  <si>
    <t>0,015-0,02</t>
  </si>
  <si>
    <t>0,012-0,018</t>
  </si>
  <si>
    <t>50-70</t>
  </si>
  <si>
    <t>35-50</t>
  </si>
  <si>
    <t>14-18</t>
  </si>
  <si>
    <t>100-120</t>
  </si>
  <si>
    <t>70-90</t>
  </si>
  <si>
    <t>1,0-1,5</t>
  </si>
  <si>
    <t>0,30-0,35</t>
  </si>
  <si>
    <t>0,25-0,4</t>
  </si>
  <si>
    <t>8-12</t>
  </si>
  <si>
    <t>3000-3100</t>
  </si>
  <si>
    <t>3100-3200</t>
  </si>
  <si>
    <t>3200-3300</t>
  </si>
  <si>
    <t>22-23</t>
  </si>
  <si>
    <t>18-19</t>
  </si>
  <si>
    <t>5-7</t>
  </si>
  <si>
    <t>5-8</t>
  </si>
  <si>
    <t>1,20-1,30</t>
  </si>
  <si>
    <t>1,10-1,15</t>
  </si>
  <si>
    <t>0,95-1,05</t>
  </si>
  <si>
    <t>0,50-0,55</t>
  </si>
  <si>
    <t>0,44-0,48</t>
  </si>
  <si>
    <t>0,40-0,43</t>
  </si>
  <si>
    <t>0,89-0,95</t>
  </si>
  <si>
    <t>0,82-0,88</t>
  </si>
  <si>
    <t>0,80-0,85</t>
  </si>
  <si>
    <t>0,20-0,23</t>
  </si>
  <si>
    <t>1,00-1,10</t>
  </si>
  <si>
    <t>0,90-1,00</t>
  </si>
  <si>
    <t>0,80-0,90</t>
  </si>
  <si>
    <t>0,42-0,45</t>
  </si>
  <si>
    <t>0,18-0,22</t>
  </si>
  <si>
    <t>0,17-0,20</t>
  </si>
  <si>
    <t>0,16-0,20</t>
  </si>
  <si>
    <t>0,95-1,02</t>
  </si>
  <si>
    <t>0,82-0,90</t>
  </si>
  <si>
    <t>0,73-0,80</t>
  </si>
  <si>
    <t>1,35-1,45</t>
  </si>
  <si>
    <t>1,05-1,15</t>
  </si>
  <si>
    <t>0,73-0,78</t>
  </si>
  <si>
    <t>0,70-0,90</t>
  </si>
  <si>
    <t>0,60-0,80</t>
  </si>
  <si>
    <t>0,50-0,70</t>
  </si>
  <si>
    <t>1,25-1,50</t>
  </si>
  <si>
    <t>1,20-1,40</t>
  </si>
  <si>
    <t>1,00-1,20</t>
  </si>
  <si>
    <t>9000-10000</t>
  </si>
  <si>
    <t>2-3</t>
  </si>
  <si>
    <t>1,8-2,5</t>
  </si>
  <si>
    <t>7-9</t>
  </si>
  <si>
    <t>6-7</t>
  </si>
  <si>
    <t>5-6</t>
  </si>
  <si>
    <t>3000-5000</t>
  </si>
  <si>
    <t>2500-4000</t>
  </si>
  <si>
    <t>2000-3000</t>
  </si>
  <si>
    <t>30-50</t>
  </si>
  <si>
    <t>25-35</t>
  </si>
  <si>
    <t>1300-1400</t>
  </si>
  <si>
    <t>0,55-1,0</t>
  </si>
  <si>
    <t>0,55-0,8</t>
  </si>
  <si>
    <t>0,50-0,75</t>
  </si>
  <si>
    <t xml:space="preserve">Prix/kg </t>
  </si>
  <si>
    <t>Tourteau de soja 48</t>
  </si>
  <si>
    <t>Tourteau de soja 44</t>
  </si>
  <si>
    <t>Tourteau de Soja 42</t>
  </si>
  <si>
    <t>Son de 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</si>
</sst>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13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i/>
      <sz val="11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6"/>
      <color rgb="FFFF0000"/>
      <name val="Times New Roman"/>
      <family val="1"/>
    </font>
    <font>
      <b/>
      <i/>
      <sz val="13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0" fillId="0" borderId="1" xfId="0" applyBorder="1"/>
    <xf numFmtId="0" fontId="0" fillId="0" borderId="0" xfId="0" applyAlignment="1"/>
    <xf numFmtId="0" fontId="9" fillId="8" borderId="2" xfId="0" applyFont="1" applyFill="1" applyBorder="1" applyAlignment="1">
      <alignment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8" borderId="0" xfId="0" applyFill="1"/>
    <xf numFmtId="0" fontId="8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Fill="1"/>
    <xf numFmtId="0" fontId="6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1" fillId="7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1"/>
  <sheetViews>
    <sheetView tabSelected="1" zoomScale="95" zoomScaleNormal="95" workbookViewId="0">
      <selection activeCell="AY8" sqref="AY8"/>
    </sheetView>
  </sheetViews>
  <sheetFormatPr baseColWidth="10" defaultRowHeight="15" x14ac:dyDescent="0.25"/>
  <cols>
    <col min="7" max="7" width="14.5703125" customWidth="1"/>
    <col min="8" max="8" width="17.140625" customWidth="1"/>
    <col min="11" max="11" width="9" bestFit="1" customWidth="1"/>
    <col min="12" max="12" width="11.5703125" hidden="1" customWidth="1"/>
    <col min="13" max="13" width="15" hidden="1" customWidth="1"/>
    <col min="14" max="14" width="19.28515625" hidden="1" customWidth="1"/>
    <col min="15" max="15" width="6.28515625" hidden="1" customWidth="1"/>
    <col min="16" max="16" width="6.7109375" hidden="1" customWidth="1"/>
    <col min="17" max="17" width="8" hidden="1" customWidth="1"/>
    <col min="18" max="18" width="12" hidden="1" customWidth="1"/>
    <col min="19" max="20" width="7.28515625" hidden="1" customWidth="1"/>
    <col min="21" max="21" width="6.5703125" hidden="1" customWidth="1"/>
    <col min="22" max="22" width="5.5703125" hidden="1" customWidth="1"/>
    <col min="23" max="23" width="6.85546875" hidden="1" customWidth="1"/>
    <col min="24" max="24" width="7.28515625" hidden="1" customWidth="1"/>
    <col min="25" max="25" width="8.5703125" hidden="1" customWidth="1"/>
    <col min="26" max="26" width="9.85546875" hidden="1" customWidth="1"/>
    <col min="27" max="27" width="6.42578125" hidden="1" customWidth="1"/>
    <col min="28" max="28" width="8" hidden="1" customWidth="1"/>
    <col min="29" max="29" width="11" hidden="1" customWidth="1"/>
    <col min="30" max="30" width="11.85546875" hidden="1" customWidth="1"/>
    <col min="31" max="33" width="13.7109375" hidden="1" customWidth="1"/>
    <col min="34" max="34" width="14.7109375" hidden="1" customWidth="1"/>
    <col min="35" max="35" width="12.85546875" hidden="1" customWidth="1"/>
    <col min="36" max="36" width="11.5703125" hidden="1" customWidth="1"/>
    <col min="37" max="37" width="11.7109375" hidden="1" customWidth="1"/>
    <col min="38" max="38" width="12.5703125" hidden="1" customWidth="1"/>
    <col min="39" max="39" width="17.42578125" hidden="1" customWidth="1"/>
    <col min="40" max="40" width="13.7109375" hidden="1" customWidth="1"/>
    <col min="41" max="41" width="15.5703125" hidden="1" customWidth="1"/>
    <col min="42" max="42" width="11.42578125" hidden="1" customWidth="1"/>
    <col min="43" max="43" width="10.7109375" hidden="1" customWidth="1"/>
    <col min="44" max="44" width="10.85546875" hidden="1" customWidth="1"/>
    <col min="45" max="45" width="11.42578125" hidden="1" customWidth="1"/>
    <col min="46" max="46" width="12.5703125" hidden="1" customWidth="1"/>
    <col min="47" max="47" width="17.140625" hidden="1" customWidth="1"/>
    <col min="48" max="48" width="14.28515625" hidden="1" customWidth="1"/>
  </cols>
  <sheetData>
    <row r="1" spans="1:48" ht="15.75" thickBot="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48" ht="21" thickBot="1" x14ac:dyDescent="0.3">
      <c r="B2" s="33" t="s">
        <v>71</v>
      </c>
      <c r="C2" s="33"/>
      <c r="D2" s="33"/>
      <c r="E2" s="33"/>
      <c r="F2" s="33"/>
      <c r="G2" s="33"/>
      <c r="H2" s="33"/>
      <c r="I2" s="33"/>
      <c r="J2" s="33"/>
      <c r="K2" s="33"/>
      <c r="L2" s="7"/>
    </row>
    <row r="3" spans="1:48" ht="17.25" customHeight="1" thickBot="1" x14ac:dyDescent="0.3">
      <c r="B3" s="35" t="s">
        <v>72</v>
      </c>
      <c r="C3" s="35"/>
      <c r="D3" s="35"/>
      <c r="E3" s="36" t="s">
        <v>78</v>
      </c>
      <c r="F3" s="37"/>
      <c r="G3" s="42"/>
      <c r="H3" s="14" t="s">
        <v>70</v>
      </c>
      <c r="I3" s="14" t="s">
        <v>68</v>
      </c>
      <c r="J3" s="14" t="s">
        <v>69</v>
      </c>
      <c r="K3" s="14" t="s">
        <v>67</v>
      </c>
    </row>
    <row r="4" spans="1:48" ht="17.25" customHeight="1" thickBot="1" x14ac:dyDescent="0.3">
      <c r="B4" s="35"/>
      <c r="C4" s="35"/>
      <c r="D4" s="35"/>
      <c r="E4" s="38"/>
      <c r="F4" s="39"/>
      <c r="G4" s="42"/>
      <c r="H4" s="34" t="str">
        <f>E3</f>
        <v xml:space="preserve">Poulette </v>
      </c>
      <c r="I4" s="34"/>
      <c r="J4" s="34"/>
      <c r="K4" s="34"/>
      <c r="L4" t="s">
        <v>2</v>
      </c>
      <c r="M4" t="s">
        <v>45</v>
      </c>
      <c r="N4" t="s">
        <v>46</v>
      </c>
      <c r="O4" t="s">
        <v>3</v>
      </c>
      <c r="P4" t="s">
        <v>4</v>
      </c>
      <c r="Q4" t="s">
        <v>5</v>
      </c>
      <c r="R4" t="s">
        <v>6</v>
      </c>
      <c r="S4" t="s">
        <v>8</v>
      </c>
      <c r="T4" t="s">
        <v>7</v>
      </c>
      <c r="U4" t="s">
        <v>10</v>
      </c>
      <c r="V4" t="s">
        <v>9</v>
      </c>
      <c r="W4" t="s">
        <v>11</v>
      </c>
      <c r="X4" t="s">
        <v>12</v>
      </c>
      <c r="Y4" t="s">
        <v>40</v>
      </c>
      <c r="Z4" t="s">
        <v>43</v>
      </c>
      <c r="AA4" t="s">
        <v>13</v>
      </c>
      <c r="AB4" t="s">
        <v>44</v>
      </c>
      <c r="AC4" t="s">
        <v>14</v>
      </c>
      <c r="AD4" t="s">
        <v>32</v>
      </c>
      <c r="AE4" t="s">
        <v>25</v>
      </c>
      <c r="AF4" t="s">
        <v>26</v>
      </c>
      <c r="AG4" t="s">
        <v>27</v>
      </c>
      <c r="AH4" t="s">
        <v>28</v>
      </c>
      <c r="AI4" t="s">
        <v>30</v>
      </c>
      <c r="AJ4" t="s">
        <v>29</v>
      </c>
      <c r="AK4" t="s">
        <v>31</v>
      </c>
      <c r="AL4" t="s">
        <v>15</v>
      </c>
      <c r="AM4" t="s">
        <v>16</v>
      </c>
      <c r="AN4" t="s">
        <v>24</v>
      </c>
      <c r="AO4" t="s">
        <v>20</v>
      </c>
      <c r="AP4" t="s">
        <v>21</v>
      </c>
      <c r="AQ4" t="s">
        <v>22</v>
      </c>
      <c r="AR4" t="s">
        <v>23</v>
      </c>
      <c r="AS4" t="s">
        <v>17</v>
      </c>
      <c r="AT4" t="s">
        <v>18</v>
      </c>
      <c r="AU4" t="s">
        <v>19</v>
      </c>
      <c r="AV4" t="s">
        <v>48</v>
      </c>
    </row>
    <row r="5" spans="1:48" ht="18" thickBot="1" x14ac:dyDescent="0.3">
      <c r="B5" s="43" t="s">
        <v>65</v>
      </c>
      <c r="C5" s="43"/>
      <c r="D5" s="10" t="s">
        <v>0</v>
      </c>
      <c r="E5" s="10" t="s">
        <v>258</v>
      </c>
      <c r="F5" s="10" t="s">
        <v>1</v>
      </c>
      <c r="G5" s="42"/>
      <c r="H5" s="5" t="s">
        <v>2</v>
      </c>
      <c r="I5" s="15">
        <f>INDEX(Base_bromato!$C$68:$L$104,MATCH(Formular!H5,Base_bromato!$B$68:$B$104,0),MATCH(Formular!$E$3,Base_bromato!$C$67:$L$67,0))</f>
        <v>2750</v>
      </c>
      <c r="J5" s="16" t="str">
        <f ca="1">IF(SUM(OFFSET($L$5,0,ROW()-5,15,1))=0,"",SUM(OFFSET($L$5,0,ROW()-5,15,1)))</f>
        <v/>
      </c>
      <c r="K5" s="6"/>
      <c r="L5">
        <f>IF($B6="","",$D6/100*VLOOKUP(TRIM($B6),Base_bromato!$A:$AM,3,FALSE))</f>
        <v>0</v>
      </c>
      <c r="M5">
        <f>IF($B6="","",$D6/100*VLOOKUP(TRIM($B6),Base_bromato!$A:$AM,4,FALSE))</f>
        <v>0</v>
      </c>
      <c r="N5">
        <f>IF($B6="","",$D6/100*VLOOKUP(TRIM($B6),Base_bromato!$A:$AM,5,FALSE))</f>
        <v>0</v>
      </c>
      <c r="O5">
        <f>IF($B6="","",$D6/100*VLOOKUP(TRIM($B6),Base_bromato!$A:$AM,6,FALSE))</f>
        <v>0</v>
      </c>
      <c r="P5">
        <f>IF($B6="","",$D6/100*VLOOKUP(TRIM($B6),Base_bromato!$A:$AM,7,FALSE))</f>
        <v>0</v>
      </c>
      <c r="Q5">
        <f>IF($B6="","",$D6/100*VLOOKUP(TRIM($B6),Base_bromato!$A:$AM,8,FALSE))</f>
        <v>0</v>
      </c>
      <c r="R5">
        <f>IF($B6="","",$D6/100*VLOOKUP(TRIM($B6),Base_bromato!$A:$AM,9,FALSE))</f>
        <v>0</v>
      </c>
      <c r="S5">
        <f>IF($B6="","",$D6/100*VLOOKUP(TRIM($B6),Base_bromato!$A:$AM,10,FALSE))</f>
        <v>0</v>
      </c>
      <c r="T5">
        <f>IF($B6="","",$D6/100*VLOOKUP(TRIM($B6),Base_bromato!$A:$AM,11,FALSE))</f>
        <v>0</v>
      </c>
      <c r="U5">
        <f>IF($B6="","",$D6/100*VLOOKUP(TRIM($B6),Base_bromato!$A:$AM,12,FALSE))</f>
        <v>0</v>
      </c>
      <c r="V5">
        <f>IF($B6="","",$D6/100*VLOOKUP(TRIM($B6),Base_bromato!$A:$AM,13,FALSE))</f>
        <v>0</v>
      </c>
      <c r="W5">
        <f>IF($B6="","",$D6/100*VLOOKUP(TRIM($B6),Base_bromato!$A:$AM,14,FALSE))</f>
        <v>0</v>
      </c>
      <c r="X5">
        <f>IF($B6="","",$D6/100*VLOOKUP(TRIM($B6),Base_bromato!$A:$AM,15,FALSE))</f>
        <v>0</v>
      </c>
      <c r="Y5">
        <f>IF($B6="","",$D6/100*VLOOKUP(TRIM($B6),Base_bromato!$A:$AM,16,FALSE))</f>
        <v>0</v>
      </c>
      <c r="Z5">
        <f>IF($B6="","",$D6/100*VLOOKUP(TRIM($B6),Base_bromato!$A:$AM,17,FALSE))</f>
        <v>0</v>
      </c>
      <c r="AA5">
        <f>IF($B6="","",$D6/100*VLOOKUP(TRIM($B6),Base_bromato!$A:$AM,18,FALSE))</f>
        <v>0</v>
      </c>
      <c r="AB5">
        <f>IF($B6="","",$D6/100*VLOOKUP(TRIM($B6),Base_bromato!$A:$AM,19,FALSE))</f>
        <v>0</v>
      </c>
      <c r="AC5">
        <f>IF($B6="","",$D6/100*VLOOKUP(TRIM($B6),Base_bromato!$A:$AM,20,FALSE))</f>
        <v>0</v>
      </c>
      <c r="AD5">
        <f>IF($B6="","",$D6/100*VLOOKUP(TRIM($B6),Base_bromato!$A:$AM,21,FALSE))</f>
        <v>0</v>
      </c>
      <c r="AE5">
        <f>IF($B6="","",$D6/100*VLOOKUP(TRIM($B6),Base_bromato!$A:$AM,22,FALSE))</f>
        <v>0</v>
      </c>
      <c r="AF5">
        <f>IF($B6="","",$D6/100*VLOOKUP(TRIM($B6),Base_bromato!$A:$AM,23,FALSE))</f>
        <v>0</v>
      </c>
      <c r="AG5">
        <f>IF($B6="","",$D6/100*VLOOKUP(TRIM($B6),Base_bromato!$A:$AM,24,FALSE))</f>
        <v>0</v>
      </c>
      <c r="AH5">
        <f>IF($B6="","",$D6/100*VLOOKUP(TRIM($B6),Base_bromato!$A:$AM,25,FALSE))</f>
        <v>0</v>
      </c>
      <c r="AI5">
        <f>IF($B6="","",$D6/100*VLOOKUP(TRIM($B6),Base_bromato!$A:$AM,26,FALSE))</f>
        <v>0</v>
      </c>
      <c r="AJ5">
        <f>IF($B6="","",$D6/100*VLOOKUP(TRIM($B6),Base_bromato!$A:$AM,27,FALSE))</f>
        <v>0</v>
      </c>
      <c r="AK5">
        <f>IF($B6="","",$D6/100*VLOOKUP(TRIM($B6),Base_bromato!$A:$AM,28,FALSE))</f>
        <v>0</v>
      </c>
      <c r="AL5">
        <f>IF($B6="","",$D6/100*VLOOKUP(TRIM($B6),Base_bromato!$A:$AM,29,FALSE))</f>
        <v>0</v>
      </c>
      <c r="AM5">
        <f>IF($B6="","",$D6/100*VLOOKUP(TRIM($B6),Base_bromato!$A:$AM,30,FALSE))</f>
        <v>0</v>
      </c>
      <c r="AN5">
        <f>IF($B6="","",$D6/100*VLOOKUP(TRIM($B6),Base_bromato!$A:$AM,31,FALSE))</f>
        <v>0</v>
      </c>
      <c r="AO5">
        <f>IF($B6="","",$D6/100*VLOOKUP(TRIM($B6),Base_bromato!$A:$AM,32,FALSE))</f>
        <v>0</v>
      </c>
      <c r="AP5">
        <f>IF($B6="","",$D6/100*VLOOKUP(TRIM($B6),Base_bromato!$A:$AM,33,FALSE))</f>
        <v>0</v>
      </c>
      <c r="AQ5">
        <f>IF($B6="","",$D6/100*VLOOKUP(TRIM($B6),Base_bromato!$A:$AM,34,FALSE))</f>
        <v>0</v>
      </c>
      <c r="AR5">
        <f>IF($B6="","",$D6/100*VLOOKUP(TRIM($B6),Base_bromato!$A:$AM,35,FALSE))</f>
        <v>0</v>
      </c>
      <c r="AS5">
        <f>IF($B6="","",$D6/100*VLOOKUP(TRIM($B6),Base_bromato!$A:$AM,36,FALSE))</f>
        <v>0</v>
      </c>
      <c r="AT5">
        <f>IF($B6="","",$D6/100*VLOOKUP(TRIM($B6),Base_bromato!$A:$AM,37,FALSE))</f>
        <v>0</v>
      </c>
      <c r="AU5">
        <f>IF($B6="","",$D6/100*VLOOKUP(TRIM($B6),Base_bromato!$A:$AM,38,FALSE))</f>
        <v>0</v>
      </c>
      <c r="AV5">
        <f>IF($B6="","",$D6/100*VLOOKUP(TRIM($B6),Base_bromato!$A:$AM,39,FALSE))</f>
        <v>0</v>
      </c>
    </row>
    <row r="6" spans="1:48" ht="19.5" thickBot="1" x14ac:dyDescent="0.3">
      <c r="B6" s="41" t="s">
        <v>262</v>
      </c>
      <c r="C6" s="41"/>
      <c r="D6" s="11"/>
      <c r="E6" s="11"/>
      <c r="F6" s="11">
        <f>E6*D6</f>
        <v>0</v>
      </c>
      <c r="G6" s="42"/>
      <c r="H6" s="5" t="s">
        <v>45</v>
      </c>
      <c r="I6" s="15">
        <f>INDEX(Base_bromato!$C$68:$L$104,MATCH(Formular!H6,Base_bromato!$B$68:$B$104,0),MATCH(Formular!$E$3,Base_bromato!$C$67:$L$67,0))</f>
        <v>5.5</v>
      </c>
      <c r="J6" s="16" t="str">
        <f t="shared" ref="J6:J41" ca="1" si="0">IF(SUM(OFFSET($L$5,0,ROW()-5,15,1))=0,"",SUM(OFFSET($L$5,0,ROW()-5,15,1)))</f>
        <v/>
      </c>
      <c r="K6" s="6"/>
      <c r="L6" t="str">
        <f>IF($B7="","",$D7/100*VLOOKUP(TRIM($B7),Base_bromato!$A:$AM,3,FALSE))</f>
        <v/>
      </c>
      <c r="M6" t="str">
        <f>IF($B7="","",$D7/100*VLOOKUP(TRIM($B7),Base_bromato!$A:$AM,4,FALSE))</f>
        <v/>
      </c>
      <c r="N6" t="str">
        <f>IF($B7="","",$D7/100*VLOOKUP(TRIM($B7),Base_bromato!$A:$AM,5,FALSE))</f>
        <v/>
      </c>
      <c r="O6" t="str">
        <f>IF($B7="","",$D7/100*VLOOKUP(TRIM($B7),Base_bromato!$A:$AM,6,FALSE))</f>
        <v/>
      </c>
      <c r="P6" t="str">
        <f>IF($B7="","",$D7/100*VLOOKUP(TRIM($B7),Base_bromato!$A:$AM,7,FALSE))</f>
        <v/>
      </c>
      <c r="Q6" t="str">
        <f>IF($B7="","",$D7/100*VLOOKUP(TRIM($B7),Base_bromato!$A:$AM,8,FALSE))</f>
        <v/>
      </c>
      <c r="R6" t="str">
        <f>IF($B7="","",$D7/100*VLOOKUP(TRIM($B7),Base_bromato!$A:$AM,9,FALSE))</f>
        <v/>
      </c>
      <c r="S6" t="str">
        <f>IF($B7="","",$D7/100*VLOOKUP(TRIM($B7),Base_bromato!$A:$AM,10,FALSE))</f>
        <v/>
      </c>
      <c r="T6" t="str">
        <f>IF($B7="","",$D7/100*VLOOKUP(TRIM($B7),Base_bromato!$A:$AM,11,FALSE))</f>
        <v/>
      </c>
      <c r="U6" t="str">
        <f>IF($B7="","",$D7/100*VLOOKUP(TRIM($B7),Base_bromato!$A:$AM,12,FALSE))</f>
        <v/>
      </c>
      <c r="V6" t="str">
        <f>IF($B7="","",$D7/100*VLOOKUP(TRIM($B7),Base_bromato!$A:$AM,13,FALSE))</f>
        <v/>
      </c>
      <c r="W6" t="str">
        <f>IF($B7="","",$D7/100*VLOOKUP(TRIM($B7),Base_bromato!$A:$AM,14,FALSE))</f>
        <v/>
      </c>
      <c r="X6" t="str">
        <f>IF($B7="","",$D7/100*VLOOKUP(TRIM($B7),Base_bromato!$A:$AM,15,FALSE))</f>
        <v/>
      </c>
      <c r="Y6" t="str">
        <f>IF($B7="","",$D7/100*VLOOKUP(TRIM($B7),Base_bromato!$A:$AM,16,FALSE))</f>
        <v/>
      </c>
      <c r="Z6" t="str">
        <f>IF($B7="","",$D7/100*VLOOKUP(TRIM($B7),Base_bromato!$A:$AM,17,FALSE))</f>
        <v/>
      </c>
      <c r="AA6" t="str">
        <f>IF($B7="","",$D7/100*VLOOKUP(TRIM($B7),Base_bromato!$A:$AM,18,FALSE))</f>
        <v/>
      </c>
      <c r="AB6" t="str">
        <f>IF($B7="","",$D7/100*VLOOKUP(TRIM($B7),Base_bromato!$A:$AM,19,FALSE))</f>
        <v/>
      </c>
      <c r="AC6" t="str">
        <f>IF($B7="","",$D7/100*VLOOKUP(TRIM($B7),Base_bromato!$A:$AM,20,FALSE))</f>
        <v/>
      </c>
      <c r="AD6" t="str">
        <f>IF($B7="","",$D7/100*VLOOKUP(TRIM($B7),Base_bromato!$A:$AM,21,FALSE))</f>
        <v/>
      </c>
      <c r="AE6" t="str">
        <f>IF($B7="","",$D7/100*VLOOKUP(TRIM($B7),Base_bromato!$A:$AM,22,FALSE))</f>
        <v/>
      </c>
      <c r="AF6" t="str">
        <f>IF($B7="","",$D7/100*VLOOKUP(TRIM($B7),Base_bromato!$A:$AM,23,FALSE))</f>
        <v/>
      </c>
      <c r="AG6" t="str">
        <f>IF($B7="","",$D7/100*VLOOKUP(TRIM($B7),Base_bromato!$A:$AM,24,FALSE))</f>
        <v/>
      </c>
      <c r="AH6" t="str">
        <f>IF($B7="","",$D7/100*VLOOKUP(TRIM($B7),Base_bromato!$A:$AM,25,FALSE))</f>
        <v/>
      </c>
      <c r="AI6" t="str">
        <f>IF($B7="","",$D7/100*VLOOKUP(TRIM($B7),Base_bromato!$A:$AM,26,FALSE))</f>
        <v/>
      </c>
      <c r="AJ6" t="str">
        <f>IF($B7="","",$D7/100*VLOOKUP(TRIM($B7),Base_bromato!$A:$AM,27,FALSE))</f>
        <v/>
      </c>
      <c r="AK6" t="str">
        <f>IF($B7="","",$D7/100*VLOOKUP(TRIM($B7),Base_bromato!$A:$AM,28,FALSE))</f>
        <v/>
      </c>
      <c r="AL6" t="str">
        <f>IF($B7="","",$D7/100*VLOOKUP(TRIM($B7),Base_bromato!$A:$AM,29,FALSE))</f>
        <v/>
      </c>
      <c r="AM6" t="str">
        <f>IF($B7="","",$D7/100*VLOOKUP(TRIM($B7),Base_bromato!$A:$AM,30,FALSE))</f>
        <v/>
      </c>
      <c r="AN6" t="str">
        <f>IF($B7="","",$D7/100*VLOOKUP(TRIM($B7),Base_bromato!$A:$AM,31,FALSE))</f>
        <v/>
      </c>
      <c r="AO6" t="str">
        <f>IF($B7="","",$D7/100*VLOOKUP(TRIM($B7),Base_bromato!$A:$AM,32,FALSE))</f>
        <v/>
      </c>
      <c r="AP6" t="str">
        <f>IF($B7="","",$D7/100*VLOOKUP(TRIM($B7),Base_bromato!$A:$AM,33,FALSE))</f>
        <v/>
      </c>
      <c r="AQ6" t="str">
        <f>IF($B7="","",$D7/100*VLOOKUP(TRIM($B7),Base_bromato!$A:$AM,34,FALSE))</f>
        <v/>
      </c>
      <c r="AR6" t="str">
        <f>IF($B7="","",$D7/100*VLOOKUP(TRIM($B7),Base_bromato!$A:$AM,35,FALSE))</f>
        <v/>
      </c>
      <c r="AS6" t="str">
        <f>IF($B7="","",$D7/100*VLOOKUP(TRIM($B7),Base_bromato!$A:$AM,36,FALSE))</f>
        <v/>
      </c>
      <c r="AT6" t="str">
        <f>IF($B7="","",$D7/100*VLOOKUP(TRIM($B7),Base_bromato!$A:$AM,37,FALSE))</f>
        <v/>
      </c>
      <c r="AU6" t="str">
        <f>IF($B7="","",$D7/100*VLOOKUP(TRIM($B7),Base_bromato!$A:$AM,38,FALSE))</f>
        <v/>
      </c>
      <c r="AV6" t="str">
        <f>IF($B7="","",$D7/100*VLOOKUP(TRIM($B7),Base_bromato!$A:$AM,39,FALSE))</f>
        <v/>
      </c>
    </row>
    <row r="7" spans="1:48" ht="19.5" thickBot="1" x14ac:dyDescent="0.3">
      <c r="B7" s="41"/>
      <c r="C7" s="41"/>
      <c r="D7" s="11"/>
      <c r="E7" s="11"/>
      <c r="F7" s="11">
        <f>E7*D7</f>
        <v>0</v>
      </c>
      <c r="G7" s="42"/>
      <c r="H7" s="5" t="s">
        <v>46</v>
      </c>
      <c r="I7" s="15" t="str">
        <f>INDEX(Base_bromato!$C$68:$L$104,MATCH(Formular!H7,Base_bromato!$B$68:$B$104,0),MATCH(Formular!$E$3,Base_bromato!$C$67:$L$67,0))</f>
        <v>2,5-4</v>
      </c>
      <c r="J7" s="16" t="str">
        <f t="shared" ca="1" si="0"/>
        <v/>
      </c>
      <c r="K7" s="6"/>
      <c r="L7" t="str">
        <f>IF($B8="","",$D8/100*VLOOKUP(TRIM($B8),Base_bromato!$A:$AM,3,FALSE))</f>
        <v/>
      </c>
      <c r="M7" t="str">
        <f>IF($B8="","",$D8/100*VLOOKUP(TRIM($B8),Base_bromato!$A:$AM,4,FALSE))</f>
        <v/>
      </c>
      <c r="N7" t="str">
        <f>IF($B8="","",$D8/100*VLOOKUP(TRIM($B8),Base_bromato!$A:$AM,5,FALSE))</f>
        <v/>
      </c>
      <c r="O7" t="str">
        <f>IF($B8="","",$D8/100*VLOOKUP(TRIM($B8),Base_bromato!$A:$AM,6,FALSE))</f>
        <v/>
      </c>
      <c r="P7" t="str">
        <f>IF($B8="","",$D8/100*VLOOKUP(TRIM($B8),Base_bromato!$A:$AM,7,FALSE))</f>
        <v/>
      </c>
      <c r="Q7" t="str">
        <f>IF($B8="","",$D8/100*VLOOKUP(TRIM($B8),Base_bromato!$A:$AM,8,FALSE))</f>
        <v/>
      </c>
      <c r="R7" t="str">
        <f>IF($B8="","",$D8/100*VLOOKUP(TRIM($B8),Base_bromato!$A:$AM,9,FALSE))</f>
        <v/>
      </c>
      <c r="S7" t="str">
        <f>IF($B8="","",$D8/100*VLOOKUP(TRIM($B8),Base_bromato!$A:$AM,10,FALSE))</f>
        <v/>
      </c>
      <c r="T7" t="str">
        <f>IF($B8="","",$D8/100*VLOOKUP(TRIM($B8),Base_bromato!$A:$AM,11,FALSE))</f>
        <v/>
      </c>
      <c r="U7" t="str">
        <f>IF($B8="","",$D8/100*VLOOKUP(TRIM($B8),Base_bromato!$A:$AM,12,FALSE))</f>
        <v/>
      </c>
      <c r="V7" t="str">
        <f>IF($B8="","",$D8/100*VLOOKUP(TRIM($B8),Base_bromato!$A:$AM,13,FALSE))</f>
        <v/>
      </c>
      <c r="W7" t="str">
        <f>IF($B8="","",$D8/100*VLOOKUP(TRIM($B8),Base_bromato!$A:$AM,14,FALSE))</f>
        <v/>
      </c>
      <c r="X7" t="str">
        <f>IF($B8="","",$D8/100*VLOOKUP(TRIM($B8),Base_bromato!$A:$AM,15,FALSE))</f>
        <v/>
      </c>
      <c r="Y7" t="str">
        <f>IF($B8="","",$D8/100*VLOOKUP(TRIM($B8),Base_bromato!$A:$AM,16,FALSE))</f>
        <v/>
      </c>
      <c r="Z7" t="str">
        <f>IF($B8="","",$D8/100*VLOOKUP(TRIM($B8),Base_bromato!$A:$AM,17,FALSE))</f>
        <v/>
      </c>
      <c r="AA7" t="str">
        <f>IF($B8="","",$D8/100*VLOOKUP(TRIM($B8),Base_bromato!$A:$AM,18,FALSE))</f>
        <v/>
      </c>
      <c r="AB7" t="str">
        <f>IF($B8="","",$D8/100*VLOOKUP(TRIM($B8),Base_bromato!$A:$AM,19,FALSE))</f>
        <v/>
      </c>
      <c r="AC7" t="str">
        <f>IF($B8="","",$D8/100*VLOOKUP(TRIM($B8),Base_bromato!$A:$AM,20,FALSE))</f>
        <v/>
      </c>
      <c r="AD7" t="str">
        <f>IF($B8="","",$D8/100*VLOOKUP(TRIM($B8),Base_bromato!$A:$AM,21,FALSE))</f>
        <v/>
      </c>
      <c r="AE7" t="str">
        <f>IF($B8="","",$D8/100*VLOOKUP(TRIM($B8),Base_bromato!$A:$AM,22,FALSE))</f>
        <v/>
      </c>
      <c r="AF7" t="str">
        <f>IF($B8="","",$D8/100*VLOOKUP(TRIM($B8),Base_bromato!$A:$AM,23,FALSE))</f>
        <v/>
      </c>
      <c r="AG7" t="str">
        <f>IF($B8="","",$D8/100*VLOOKUP(TRIM($B8),Base_bromato!$A:$AM,24,FALSE))</f>
        <v/>
      </c>
      <c r="AH7" t="str">
        <f>IF($B8="","",$D8/100*VLOOKUP(TRIM($B8),Base_bromato!$A:$AM,25,FALSE))</f>
        <v/>
      </c>
      <c r="AI7" t="str">
        <f>IF($B8="","",$D8/100*VLOOKUP(TRIM($B8),Base_bromato!$A:$AM,26,FALSE))</f>
        <v/>
      </c>
      <c r="AJ7" t="str">
        <f>IF($B8="","",$D8/100*VLOOKUP(TRIM($B8),Base_bromato!$A:$AM,27,FALSE))</f>
        <v/>
      </c>
      <c r="AK7" t="str">
        <f>IF($B8="","",$D8/100*VLOOKUP(TRIM($B8),Base_bromato!$A:$AM,28,FALSE))</f>
        <v/>
      </c>
      <c r="AL7" t="str">
        <f>IF($B8="","",$D8/100*VLOOKUP(TRIM($B8),Base_bromato!$A:$AM,29,FALSE))</f>
        <v/>
      </c>
      <c r="AM7" t="str">
        <f>IF($B8="","",$D8/100*VLOOKUP(TRIM($B8),Base_bromato!$A:$AM,30,FALSE))</f>
        <v/>
      </c>
      <c r="AN7" t="str">
        <f>IF($B8="","",$D8/100*VLOOKUP(TRIM($B8),Base_bromato!$A:$AM,31,FALSE))</f>
        <v/>
      </c>
      <c r="AO7" t="str">
        <f>IF($B8="","",$D8/100*VLOOKUP(TRIM($B8),Base_bromato!$A:$AM,32,FALSE))</f>
        <v/>
      </c>
      <c r="AP7" t="str">
        <f>IF($B8="","",$D8/100*VLOOKUP(TRIM($B8),Base_bromato!$A:$AM,33,FALSE))</f>
        <v/>
      </c>
      <c r="AQ7" t="str">
        <f>IF($B8="","",$D8/100*VLOOKUP(TRIM($B8),Base_bromato!$A:$AM,34,FALSE))</f>
        <v/>
      </c>
      <c r="AR7" t="str">
        <f>IF($B8="","",$D8/100*VLOOKUP(TRIM($B8),Base_bromato!$A:$AM,35,FALSE))</f>
        <v/>
      </c>
      <c r="AS7" t="str">
        <f>IF($B8="","",$D8/100*VLOOKUP(TRIM($B8),Base_bromato!$A:$AM,36,FALSE))</f>
        <v/>
      </c>
      <c r="AT7" t="str">
        <f>IF($B8="","",$D8/100*VLOOKUP(TRIM($B8),Base_bromato!$A:$AM,37,FALSE))</f>
        <v/>
      </c>
      <c r="AU7" t="str">
        <f>IF($B8="","",$D8/100*VLOOKUP(TRIM($B8),Base_bromato!$A:$AM,38,FALSE))</f>
        <v/>
      </c>
      <c r="AV7" t="str">
        <f>IF($B8="","",$D8/100*VLOOKUP(TRIM($B8),Base_bromato!$A:$AM,39,FALSE))</f>
        <v/>
      </c>
    </row>
    <row r="8" spans="1:48" ht="19.5" thickBot="1" x14ac:dyDescent="0.3">
      <c r="B8" s="41"/>
      <c r="C8" s="41"/>
      <c r="D8" s="11"/>
      <c r="E8" s="11"/>
      <c r="F8" s="11">
        <f t="shared" ref="F8:F29" si="1">E8*D8</f>
        <v>0</v>
      </c>
      <c r="G8" s="42"/>
      <c r="H8" s="5" t="s">
        <v>3</v>
      </c>
      <c r="I8" s="15">
        <f>INDEX(Base_bromato!$C$68:$L$104,MATCH(Formular!H8,Base_bromato!$B$68:$B$104,0),MATCH(Formular!$E$3,Base_bromato!$C$67:$L$67,0))</f>
        <v>16</v>
      </c>
      <c r="J8" s="16" t="str">
        <f t="shared" ca="1" si="0"/>
        <v/>
      </c>
      <c r="K8" s="6"/>
      <c r="L8" t="str">
        <f>IF($B9="","",$D9/100*VLOOKUP(TRIM($B9),Base_bromato!$A:$AM,3,FALSE))</f>
        <v/>
      </c>
      <c r="M8" t="str">
        <f>IF($B9="","",$D9/100*VLOOKUP(TRIM($B9),Base_bromato!$A:$AM,4,FALSE))</f>
        <v/>
      </c>
      <c r="N8" t="str">
        <f>IF($B9="","",$D9/100*VLOOKUP(TRIM($B9),Base_bromato!$A:$AM,5,FALSE))</f>
        <v/>
      </c>
      <c r="O8" t="str">
        <f>IF($B9="","",$D9/100*VLOOKUP(TRIM($B9),Base_bromato!$A:$AM,6,FALSE))</f>
        <v/>
      </c>
      <c r="P8" t="str">
        <f>IF($B9="","",$D9/100*VLOOKUP(TRIM($B9),Base_bromato!$A:$AM,7,FALSE))</f>
        <v/>
      </c>
      <c r="Q8" t="str">
        <f>IF($B9="","",$D9/100*VLOOKUP(TRIM($B9),Base_bromato!$A:$AM,8,FALSE))</f>
        <v/>
      </c>
      <c r="R8" t="str">
        <f>IF($B9="","",$D9/100*VLOOKUP(TRIM($B9),Base_bromato!$A:$AM,9,FALSE))</f>
        <v/>
      </c>
      <c r="S8" t="str">
        <f>IF($B9="","",$D9/100*VLOOKUP(TRIM($B9),Base_bromato!$A:$AM,10,FALSE))</f>
        <v/>
      </c>
      <c r="T8" t="str">
        <f>IF($B9="","",$D9/100*VLOOKUP(TRIM($B9),Base_bromato!$A:$AM,11,FALSE))</f>
        <v/>
      </c>
      <c r="U8" t="str">
        <f>IF($B9="","",$D9/100*VLOOKUP(TRIM($B9),Base_bromato!$A:$AM,12,FALSE))</f>
        <v/>
      </c>
      <c r="V8" t="str">
        <f>IF($B9="","",$D9/100*VLOOKUP(TRIM($B9),Base_bromato!$A:$AM,13,FALSE))</f>
        <v/>
      </c>
      <c r="W8" t="str">
        <f>IF($B9="","",$D9/100*VLOOKUP(TRIM($B9),Base_bromato!$A:$AM,14,FALSE))</f>
        <v/>
      </c>
      <c r="X8" t="str">
        <f>IF($B9="","",$D9/100*VLOOKUP(TRIM($B9),Base_bromato!$A:$AM,15,FALSE))</f>
        <v/>
      </c>
      <c r="Y8" t="str">
        <f>IF($B9="","",$D9/100*VLOOKUP(TRIM($B9),Base_bromato!$A:$AM,16,FALSE))</f>
        <v/>
      </c>
      <c r="Z8" t="str">
        <f>IF($B9="","",$D9/100*VLOOKUP(TRIM($B9),Base_bromato!$A:$AM,17,FALSE))</f>
        <v/>
      </c>
      <c r="AA8" t="str">
        <f>IF($B9="","",$D9/100*VLOOKUP(TRIM($B9),Base_bromato!$A:$AM,18,FALSE))</f>
        <v/>
      </c>
      <c r="AB8" t="str">
        <f>IF($B9="","",$D9/100*VLOOKUP(TRIM($B9),Base_bromato!$A:$AM,19,FALSE))</f>
        <v/>
      </c>
      <c r="AC8" t="str">
        <f>IF($B9="","",$D9/100*VLOOKUP(TRIM($B9),Base_bromato!$A:$AM,20,FALSE))</f>
        <v/>
      </c>
      <c r="AD8" t="str">
        <f>IF($B9="","",$D9/100*VLOOKUP(TRIM($B9),Base_bromato!$A:$AM,21,FALSE))</f>
        <v/>
      </c>
      <c r="AE8" t="str">
        <f>IF($B9="","",$D9/100*VLOOKUP(TRIM($B9),Base_bromato!$A:$AM,22,FALSE))</f>
        <v/>
      </c>
      <c r="AF8" t="str">
        <f>IF($B9="","",$D9/100*VLOOKUP(TRIM($B9),Base_bromato!$A:$AM,23,FALSE))</f>
        <v/>
      </c>
      <c r="AG8" t="str">
        <f>IF($B9="","",$D9/100*VLOOKUP(TRIM($B9),Base_bromato!$A:$AM,24,FALSE))</f>
        <v/>
      </c>
      <c r="AH8" t="str">
        <f>IF($B9="","",$D9/100*VLOOKUP(TRIM($B9),Base_bromato!$A:$AM,25,FALSE))</f>
        <v/>
      </c>
      <c r="AI8" t="str">
        <f>IF($B9="","",$D9/100*VLOOKUP(TRIM($B9),Base_bromato!$A:$AM,26,FALSE))</f>
        <v/>
      </c>
      <c r="AJ8" t="str">
        <f>IF($B9="","",$D9/100*VLOOKUP(TRIM($B9),Base_bromato!$A:$AM,27,FALSE))</f>
        <v/>
      </c>
      <c r="AK8" t="str">
        <f>IF($B9="","",$D9/100*VLOOKUP(TRIM($B9),Base_bromato!$A:$AM,28,FALSE))</f>
        <v/>
      </c>
      <c r="AL8" t="str">
        <f>IF($B9="","",$D9/100*VLOOKUP(TRIM($B9),Base_bromato!$A:$AM,29,FALSE))</f>
        <v/>
      </c>
      <c r="AM8" t="str">
        <f>IF($B9="","",$D9/100*VLOOKUP(TRIM($B9),Base_bromato!$A:$AM,30,FALSE))</f>
        <v/>
      </c>
      <c r="AN8" t="str">
        <f>IF($B9="","",$D9/100*VLOOKUP(TRIM($B9),Base_bromato!$A:$AM,31,FALSE))</f>
        <v/>
      </c>
      <c r="AO8" t="str">
        <f>IF($B9="","",$D9/100*VLOOKUP(TRIM($B9),Base_bromato!$A:$AM,32,FALSE))</f>
        <v/>
      </c>
      <c r="AP8" t="str">
        <f>IF($B9="","",$D9/100*VLOOKUP(TRIM($B9),Base_bromato!$A:$AM,33,FALSE))</f>
        <v/>
      </c>
      <c r="AQ8" t="str">
        <f>IF($B9="","",$D9/100*VLOOKUP(TRIM($B9),Base_bromato!$A:$AM,34,FALSE))</f>
        <v/>
      </c>
      <c r="AR8" t="str">
        <f>IF($B9="","",$D9/100*VLOOKUP(TRIM($B9),Base_bromato!$A:$AM,35,FALSE))</f>
        <v/>
      </c>
      <c r="AS8" t="str">
        <f>IF($B9="","",$D9/100*VLOOKUP(TRIM($B9),Base_bromato!$A:$AM,36,FALSE))</f>
        <v/>
      </c>
      <c r="AT8" t="str">
        <f>IF($B9="","",$D9/100*VLOOKUP(TRIM($B9),Base_bromato!$A:$AM,37,FALSE))</f>
        <v/>
      </c>
      <c r="AU8" t="str">
        <f>IF($B9="","",$D9/100*VLOOKUP(TRIM($B9),Base_bromato!$A:$AM,38,FALSE))</f>
        <v/>
      </c>
      <c r="AV8" t="str">
        <f>IF($B9="","",$D9/100*VLOOKUP(TRIM($B9),Base_bromato!$A:$AM,39,FALSE))</f>
        <v/>
      </c>
    </row>
    <row r="9" spans="1:48" ht="19.5" thickBot="1" x14ac:dyDescent="0.3">
      <c r="B9" s="41"/>
      <c r="C9" s="41"/>
      <c r="D9" s="11"/>
      <c r="E9" s="11"/>
      <c r="F9" s="11">
        <f t="shared" si="1"/>
        <v>0</v>
      </c>
      <c r="G9" s="42"/>
      <c r="H9" s="5" t="s">
        <v>4</v>
      </c>
      <c r="I9" s="15" t="str">
        <f>INDEX(Base_bromato!$C$68:$L$104,MATCH(Formular!H9,Base_bromato!$B$68:$B$104,0),MATCH(Formular!$E$3,Base_bromato!$C$67:$L$67,0))</f>
        <v>0,74-0,78</v>
      </c>
      <c r="J9" s="16" t="str">
        <f t="shared" ca="1" si="0"/>
        <v/>
      </c>
      <c r="K9" s="6"/>
      <c r="L9" t="str">
        <f>IF($B10="","",$D10/100*VLOOKUP(TRIM($B10),Base_bromato!$A:$AM,3,FALSE))</f>
        <v/>
      </c>
      <c r="M9" t="str">
        <f>IF($B10="","",$D10/100*VLOOKUP(TRIM($B10),Base_bromato!$A:$AM,4,FALSE))</f>
        <v/>
      </c>
      <c r="N9" t="str">
        <f>IF($B10="","",$D10/100*VLOOKUP(TRIM($B10),Base_bromato!$A:$AM,5,FALSE))</f>
        <v/>
      </c>
      <c r="O9" t="str">
        <f>IF($B10="","",$D10/100*VLOOKUP(TRIM($B10),Base_bromato!$A:$AM,6,FALSE))</f>
        <v/>
      </c>
      <c r="P9" t="str">
        <f>IF($B10="","",$D10/100*VLOOKUP(TRIM($B10),Base_bromato!$A:$AM,7,FALSE))</f>
        <v/>
      </c>
      <c r="Q9" t="str">
        <f>IF($B10="","",$D10/100*VLOOKUP(TRIM($B10),Base_bromato!$A:$AM,8,FALSE))</f>
        <v/>
      </c>
      <c r="R9" t="str">
        <f>IF($B10="","",$D10/100*VLOOKUP(TRIM($B10),Base_bromato!$A:$AM,9,FALSE))</f>
        <v/>
      </c>
      <c r="S9" t="str">
        <f>IF($B10="","",$D10/100*VLOOKUP(TRIM($B10),Base_bromato!$A:$AM,10,FALSE))</f>
        <v/>
      </c>
      <c r="T9" t="str">
        <f>IF($B10="","",$D10/100*VLOOKUP(TRIM($B10),Base_bromato!$A:$AM,11,FALSE))</f>
        <v/>
      </c>
      <c r="U9" t="str">
        <f>IF($B10="","",$D10/100*VLOOKUP(TRIM($B10),Base_bromato!$A:$AM,12,FALSE))</f>
        <v/>
      </c>
      <c r="V9" t="str">
        <f>IF($B10="","",$D10/100*VLOOKUP(TRIM($B10),Base_bromato!$A:$AM,13,FALSE))</f>
        <v/>
      </c>
      <c r="W9" t="str">
        <f>IF($B10="","",$D10/100*VLOOKUP(TRIM($B10),Base_bromato!$A:$AM,14,FALSE))</f>
        <v/>
      </c>
      <c r="X9" t="str">
        <f>IF($B10="","",$D10/100*VLOOKUP(TRIM($B10),Base_bromato!$A:$AM,15,FALSE))</f>
        <v/>
      </c>
      <c r="Y9" t="str">
        <f>IF($B10="","",$D10/100*VLOOKUP(TRIM($B10),Base_bromato!$A:$AM,16,FALSE))</f>
        <v/>
      </c>
      <c r="Z9" t="str">
        <f>IF($B10="","",$D10/100*VLOOKUP(TRIM($B10),Base_bromato!$A:$AM,17,FALSE))</f>
        <v/>
      </c>
      <c r="AA9" t="str">
        <f>IF($B10="","",$D10/100*VLOOKUP(TRIM($B10),Base_bromato!$A:$AM,18,FALSE))</f>
        <v/>
      </c>
      <c r="AB9" t="str">
        <f>IF($B10="","",$D10/100*VLOOKUP(TRIM($B10),Base_bromato!$A:$AM,19,FALSE))</f>
        <v/>
      </c>
      <c r="AC9" t="str">
        <f>IF($B10="","",$D10/100*VLOOKUP(TRIM($B10),Base_bromato!$A:$AM,20,FALSE))</f>
        <v/>
      </c>
      <c r="AD9" t="str">
        <f>IF($B10="","",$D10/100*VLOOKUP(TRIM($B10),Base_bromato!$A:$AM,21,FALSE))</f>
        <v/>
      </c>
      <c r="AE9" t="str">
        <f>IF($B10="","",$D10/100*VLOOKUP(TRIM($B10),Base_bromato!$A:$AM,22,FALSE))</f>
        <v/>
      </c>
      <c r="AF9" t="str">
        <f>IF($B10="","",$D10/100*VLOOKUP(TRIM($B10),Base_bromato!$A:$AM,23,FALSE))</f>
        <v/>
      </c>
      <c r="AG9" t="str">
        <f>IF($B10="","",$D10/100*VLOOKUP(TRIM($B10),Base_bromato!$A:$AM,24,FALSE))</f>
        <v/>
      </c>
      <c r="AH9" t="str">
        <f>IF($B10="","",$D10/100*VLOOKUP(TRIM($B10),Base_bromato!$A:$AM,25,FALSE))</f>
        <v/>
      </c>
      <c r="AI9" t="str">
        <f>IF($B10="","",$D10/100*VLOOKUP(TRIM($B10),Base_bromato!$A:$AM,26,FALSE))</f>
        <v/>
      </c>
      <c r="AJ9" t="str">
        <f>IF($B10="","",$D10/100*VLOOKUP(TRIM($B10),Base_bromato!$A:$AM,27,FALSE))</f>
        <v/>
      </c>
      <c r="AK9" t="str">
        <f>IF($B10="","",$D10/100*VLOOKUP(TRIM($B10),Base_bromato!$A:$AM,28,FALSE))</f>
        <v/>
      </c>
      <c r="AL9" t="str">
        <f>IF($B10="","",$D10/100*VLOOKUP(TRIM($B10),Base_bromato!$A:$AM,29,FALSE))</f>
        <v/>
      </c>
      <c r="AM9" t="str">
        <f>IF($B10="","",$D10/100*VLOOKUP(TRIM($B10),Base_bromato!$A:$AM,30,FALSE))</f>
        <v/>
      </c>
      <c r="AN9" t="str">
        <f>IF($B10="","",$D10/100*VLOOKUP(TRIM($B10),Base_bromato!$A:$AM,31,FALSE))</f>
        <v/>
      </c>
      <c r="AO9" t="str">
        <f>IF($B10="","",$D10/100*VLOOKUP(TRIM($B10),Base_bromato!$A:$AM,32,FALSE))</f>
        <v/>
      </c>
      <c r="AP9" t="str">
        <f>IF($B10="","",$D10/100*VLOOKUP(TRIM($B10),Base_bromato!$A:$AM,33,FALSE))</f>
        <v/>
      </c>
      <c r="AQ9" t="str">
        <f>IF($B10="","",$D10/100*VLOOKUP(TRIM($B10),Base_bromato!$A:$AM,34,FALSE))</f>
        <v/>
      </c>
      <c r="AR9" t="str">
        <f>IF($B10="","",$D10/100*VLOOKUP(TRIM($B10),Base_bromato!$A:$AM,35,FALSE))</f>
        <v/>
      </c>
      <c r="AS9" t="str">
        <f>IF($B10="","",$D10/100*VLOOKUP(TRIM($B10),Base_bromato!$A:$AM,36,FALSE))</f>
        <v/>
      </c>
      <c r="AT9" t="str">
        <f>IF($B10="","",$D10/100*VLOOKUP(TRIM($B10),Base_bromato!$A:$AM,37,FALSE))</f>
        <v/>
      </c>
      <c r="AU9" t="str">
        <f>IF($B10="","",$D10/100*VLOOKUP(TRIM($B10),Base_bromato!$A:$AM,38,FALSE))</f>
        <v/>
      </c>
      <c r="AV9" t="str">
        <f>IF($B10="","",$D10/100*VLOOKUP(TRIM($B10),Base_bromato!$A:$AM,39,FALSE))</f>
        <v/>
      </c>
    </row>
    <row r="10" spans="1:48" ht="19.5" thickBot="1" x14ac:dyDescent="0.3">
      <c r="B10" s="41"/>
      <c r="C10" s="41"/>
      <c r="D10" s="11"/>
      <c r="E10" s="11"/>
      <c r="F10" s="11">
        <f t="shared" si="1"/>
        <v>0</v>
      </c>
      <c r="G10" s="42"/>
      <c r="H10" s="5" t="s">
        <v>5</v>
      </c>
      <c r="I10" s="15" t="str">
        <f>INDEX(Base_bromato!$C$68:$L$104,MATCH(Formular!H10,Base_bromato!$B$68:$B$104,0),MATCH(Formular!$E$3,Base_bromato!$C$67:$L$67,0))</f>
        <v>0,33-0,35</v>
      </c>
      <c r="J10" s="16" t="str">
        <f t="shared" ca="1" si="0"/>
        <v/>
      </c>
      <c r="K10" s="6"/>
      <c r="L10" t="str">
        <f>IF($B11="","",$D11/100*VLOOKUP(TRIM($B11),Base_bromato!$A:$AM,3,FALSE))</f>
        <v/>
      </c>
      <c r="M10" t="str">
        <f>IF($B11="","",$D11/100*VLOOKUP(TRIM($B11),Base_bromato!$A:$AM,4,FALSE))</f>
        <v/>
      </c>
      <c r="N10" t="str">
        <f>IF($B11="","",$D11/100*VLOOKUP(TRIM($B11),Base_bromato!$A:$AM,5,FALSE))</f>
        <v/>
      </c>
      <c r="O10" t="str">
        <f>IF($B11="","",$D11/100*VLOOKUP(TRIM($B11),Base_bromato!$A:$AM,6,FALSE))</f>
        <v/>
      </c>
      <c r="P10" t="str">
        <f>IF($B11="","",$D11/100*VLOOKUP(TRIM($B11),Base_bromato!$A:$AM,7,FALSE))</f>
        <v/>
      </c>
      <c r="Q10" t="str">
        <f>IF($B11="","",$D11/100*VLOOKUP(TRIM($B11),Base_bromato!$A:$AM,8,FALSE))</f>
        <v/>
      </c>
      <c r="R10" t="str">
        <f>IF($B11="","",$D11/100*VLOOKUP(TRIM($B11),Base_bromato!$A:$AM,9,FALSE))</f>
        <v/>
      </c>
      <c r="S10" t="str">
        <f>IF($B11="","",$D11/100*VLOOKUP(TRIM($B11),Base_bromato!$A:$AM,10,FALSE))</f>
        <v/>
      </c>
      <c r="T10" t="str">
        <f>IF($B11="","",$D11/100*VLOOKUP(TRIM($B11),Base_bromato!$A:$AM,11,FALSE))</f>
        <v/>
      </c>
      <c r="U10" t="str">
        <f>IF($B11="","",$D11/100*VLOOKUP(TRIM($B11),Base_bromato!$A:$AM,12,FALSE))</f>
        <v/>
      </c>
      <c r="V10" t="str">
        <f>IF($B11="","",$D11/100*VLOOKUP(TRIM($B11),Base_bromato!$A:$AM,13,FALSE))</f>
        <v/>
      </c>
      <c r="W10" t="str">
        <f>IF($B11="","",$D11/100*VLOOKUP(TRIM($B11),Base_bromato!$A:$AM,14,FALSE))</f>
        <v/>
      </c>
      <c r="X10" t="str">
        <f>IF($B11="","",$D11/100*VLOOKUP(TRIM($B11),Base_bromato!$A:$AM,15,FALSE))</f>
        <v/>
      </c>
      <c r="Y10" t="str">
        <f>IF($B11="","",$D11/100*VLOOKUP(TRIM($B11),Base_bromato!$A:$AM,16,FALSE))</f>
        <v/>
      </c>
      <c r="Z10" t="str">
        <f>IF($B11="","",$D11/100*VLOOKUP(TRIM($B11),Base_bromato!$A:$AM,17,FALSE))</f>
        <v/>
      </c>
      <c r="AA10" t="str">
        <f>IF($B11="","",$D11/100*VLOOKUP(TRIM($B11),Base_bromato!$A:$AM,18,FALSE))</f>
        <v/>
      </c>
      <c r="AB10" t="str">
        <f>IF($B11="","",$D11/100*VLOOKUP(TRIM($B11),Base_bromato!$A:$AM,19,FALSE))</f>
        <v/>
      </c>
      <c r="AC10" t="str">
        <f>IF($B11="","",$D11/100*VLOOKUP(TRIM($B11),Base_bromato!$A:$AM,20,FALSE))</f>
        <v/>
      </c>
      <c r="AD10" t="str">
        <f>IF($B11="","",$D11/100*VLOOKUP(TRIM($B11),Base_bromato!$A:$AM,21,FALSE))</f>
        <v/>
      </c>
      <c r="AE10" t="str">
        <f>IF($B11="","",$D11/100*VLOOKUP(TRIM($B11),Base_bromato!$A:$AM,22,FALSE))</f>
        <v/>
      </c>
      <c r="AF10" t="str">
        <f>IF($B11="","",$D11/100*VLOOKUP(TRIM($B11),Base_bromato!$A:$AM,23,FALSE))</f>
        <v/>
      </c>
      <c r="AG10" t="str">
        <f>IF($B11="","",$D11/100*VLOOKUP(TRIM($B11),Base_bromato!$A:$AM,24,FALSE))</f>
        <v/>
      </c>
      <c r="AH10" t="str">
        <f>IF($B11="","",$D11/100*VLOOKUP(TRIM($B11),Base_bromato!$A:$AM,25,FALSE))</f>
        <v/>
      </c>
      <c r="AI10" t="str">
        <f>IF($B11="","",$D11/100*VLOOKUP(TRIM($B11),Base_bromato!$A:$AM,26,FALSE))</f>
        <v/>
      </c>
      <c r="AJ10" t="str">
        <f>IF($B11="","",$D11/100*VLOOKUP(TRIM($B11),Base_bromato!$A:$AM,27,FALSE))</f>
        <v/>
      </c>
      <c r="AK10" t="str">
        <f>IF($B11="","",$D11/100*VLOOKUP(TRIM($B11),Base_bromato!$A:$AM,28,FALSE))</f>
        <v/>
      </c>
      <c r="AL10" t="str">
        <f>IF($B11="","",$D11/100*VLOOKUP(TRIM($B11),Base_bromato!$A:$AM,29,FALSE))</f>
        <v/>
      </c>
      <c r="AM10" t="str">
        <f>IF($B11="","",$D11/100*VLOOKUP(TRIM($B11),Base_bromato!$A:$AM,30,FALSE))</f>
        <v/>
      </c>
      <c r="AN10" t="str">
        <f>IF($B11="","",$D11/100*VLOOKUP(TRIM($B11),Base_bromato!$A:$AM,31,FALSE))</f>
        <v/>
      </c>
      <c r="AO10" t="str">
        <f>IF($B11="","",$D11/100*VLOOKUP(TRIM($B11),Base_bromato!$A:$AM,32,FALSE))</f>
        <v/>
      </c>
      <c r="AP10" t="str">
        <f>IF($B11="","",$D11/100*VLOOKUP(TRIM($B11),Base_bromato!$A:$AM,33,FALSE))</f>
        <v/>
      </c>
      <c r="AQ10" t="str">
        <f>IF($B11="","",$D11/100*VLOOKUP(TRIM($B11),Base_bromato!$A:$AM,34,FALSE))</f>
        <v/>
      </c>
      <c r="AR10" t="str">
        <f>IF($B11="","",$D11/100*VLOOKUP(TRIM($B11),Base_bromato!$A:$AM,35,FALSE))</f>
        <v/>
      </c>
      <c r="AS10" t="str">
        <f>IF($B11="","",$D11/100*VLOOKUP(TRIM($B11),Base_bromato!$A:$AM,36,FALSE))</f>
        <v/>
      </c>
      <c r="AT10" t="str">
        <f>IF($B11="","",$D11/100*VLOOKUP(TRIM($B11),Base_bromato!$A:$AM,37,FALSE))</f>
        <v/>
      </c>
      <c r="AU10" t="str">
        <f>IF($B11="","",$D11/100*VLOOKUP(TRIM($B11),Base_bromato!$A:$AM,38,FALSE))</f>
        <v/>
      </c>
      <c r="AV10" t="str">
        <f>IF($B11="","",$D11/100*VLOOKUP(TRIM($B11),Base_bromato!$A:$AM,39,FALSE))</f>
        <v/>
      </c>
    </row>
    <row r="11" spans="1:48" ht="19.5" thickBot="1" x14ac:dyDescent="0.3">
      <c r="B11" s="41"/>
      <c r="C11" s="41"/>
      <c r="D11" s="11"/>
      <c r="E11" s="11"/>
      <c r="F11" s="11">
        <f t="shared" si="1"/>
        <v>0</v>
      </c>
      <c r="G11" s="42"/>
      <c r="H11" s="5" t="s">
        <v>6</v>
      </c>
      <c r="I11" s="15" t="str">
        <f>INDEX(Base_bromato!$C$68:$L$104,MATCH(Formular!H11,Base_bromato!$B$68:$B$104,0),MATCH(Formular!$E$3,Base_bromato!$C$67:$L$67,0))</f>
        <v>0,60-0,63</v>
      </c>
      <c r="J11" s="16" t="str">
        <f t="shared" ca="1" si="0"/>
        <v/>
      </c>
      <c r="K11" s="6"/>
      <c r="L11" t="str">
        <f>IF($B12="","",$D12/100*VLOOKUP(TRIM($B12),Base_bromato!$A:$AM,3,FALSE))</f>
        <v/>
      </c>
      <c r="M11" t="str">
        <f>IF($B12="","",$D12/100*VLOOKUP(TRIM($B12),Base_bromato!$A:$AM,4,FALSE))</f>
        <v/>
      </c>
      <c r="N11" t="str">
        <f>IF($B12="","",$D12/100*VLOOKUP(TRIM($B12),Base_bromato!$A:$AM,5,FALSE))</f>
        <v/>
      </c>
      <c r="O11" t="str">
        <f>IF($B12="","",$D12/100*VLOOKUP(TRIM($B12),Base_bromato!$A:$AM,6,FALSE))</f>
        <v/>
      </c>
      <c r="P11" t="str">
        <f>IF($B12="","",$D12/100*VLOOKUP(TRIM($B12),Base_bromato!$A:$AM,7,FALSE))</f>
        <v/>
      </c>
      <c r="Q11" t="str">
        <f>IF($B12="","",$D12/100*VLOOKUP(TRIM($B12),Base_bromato!$A:$AM,8,FALSE))</f>
        <v/>
      </c>
      <c r="R11" t="str">
        <f>IF($B12="","",$D12/100*VLOOKUP(TRIM($B12),Base_bromato!$A:$AM,9,FALSE))</f>
        <v/>
      </c>
      <c r="S11" t="str">
        <f>IF($B12="","",$D12/100*VLOOKUP(TRIM($B12),Base_bromato!$A:$AM,10,FALSE))</f>
        <v/>
      </c>
      <c r="T11" t="str">
        <f>IF($B12="","",$D12/100*VLOOKUP(TRIM($B12),Base_bromato!$A:$AM,11,FALSE))</f>
        <v/>
      </c>
      <c r="U11" t="str">
        <f>IF($B12="","",$D12/100*VLOOKUP(TRIM($B12),Base_bromato!$A:$AM,12,FALSE))</f>
        <v/>
      </c>
      <c r="V11" t="str">
        <f>IF($B12="","",$D12/100*VLOOKUP(TRIM($B12),Base_bromato!$A:$AM,13,FALSE))</f>
        <v/>
      </c>
      <c r="W11" t="str">
        <f>IF($B12="","",$D12/100*VLOOKUP(TRIM($B12),Base_bromato!$A:$AM,14,FALSE))</f>
        <v/>
      </c>
      <c r="X11" t="str">
        <f>IF($B12="","",$D12/100*VLOOKUP(TRIM($B12),Base_bromato!$A:$AM,15,FALSE))</f>
        <v/>
      </c>
      <c r="Y11" t="str">
        <f>IF($B12="","",$D12/100*VLOOKUP(TRIM($B12),Base_bromato!$A:$AM,16,FALSE))</f>
        <v/>
      </c>
      <c r="Z11" t="str">
        <f>IF($B12="","",$D12/100*VLOOKUP(TRIM($B12),Base_bromato!$A:$AM,17,FALSE))</f>
        <v/>
      </c>
      <c r="AA11" t="str">
        <f>IF($B12="","",$D12/100*VLOOKUP(TRIM($B12),Base_bromato!$A:$AM,18,FALSE))</f>
        <v/>
      </c>
      <c r="AB11" t="str">
        <f>IF($B12="","",$D12/100*VLOOKUP(TRIM($B12),Base_bromato!$A:$AM,19,FALSE))</f>
        <v/>
      </c>
      <c r="AC11" t="str">
        <f>IF($B12="","",$D12/100*VLOOKUP(TRIM($B12),Base_bromato!$A:$AM,20,FALSE))</f>
        <v/>
      </c>
      <c r="AD11" t="str">
        <f>IF($B12="","",$D12/100*VLOOKUP(TRIM($B12),Base_bromato!$A:$AM,21,FALSE))</f>
        <v/>
      </c>
      <c r="AE11" t="str">
        <f>IF($B12="","",$D12/100*VLOOKUP(TRIM($B12),Base_bromato!$A:$AM,22,FALSE))</f>
        <v/>
      </c>
      <c r="AF11" t="str">
        <f>IF($B12="","",$D12/100*VLOOKUP(TRIM($B12),Base_bromato!$A:$AM,23,FALSE))</f>
        <v/>
      </c>
      <c r="AG11" t="str">
        <f>IF($B12="","",$D12/100*VLOOKUP(TRIM($B12),Base_bromato!$A:$AM,24,FALSE))</f>
        <v/>
      </c>
      <c r="AH11" t="str">
        <f>IF($B12="","",$D12/100*VLOOKUP(TRIM($B12),Base_bromato!$A:$AM,25,FALSE))</f>
        <v/>
      </c>
      <c r="AI11" t="str">
        <f>IF($B12="","",$D12/100*VLOOKUP(TRIM($B12),Base_bromato!$A:$AM,26,FALSE))</f>
        <v/>
      </c>
      <c r="AJ11" t="str">
        <f>IF($B12="","",$D12/100*VLOOKUP(TRIM($B12),Base_bromato!$A:$AM,27,FALSE))</f>
        <v/>
      </c>
      <c r="AK11" t="str">
        <f>IF($B12="","",$D12/100*VLOOKUP(TRIM($B12),Base_bromato!$A:$AM,28,FALSE))</f>
        <v/>
      </c>
      <c r="AL11" t="str">
        <f>IF($B12="","",$D12/100*VLOOKUP(TRIM($B12),Base_bromato!$A:$AM,29,FALSE))</f>
        <v/>
      </c>
      <c r="AM11" t="str">
        <f>IF($B12="","",$D12/100*VLOOKUP(TRIM($B12),Base_bromato!$A:$AM,30,FALSE))</f>
        <v/>
      </c>
      <c r="AN11" t="str">
        <f>IF($B12="","",$D12/100*VLOOKUP(TRIM($B12),Base_bromato!$A:$AM,31,FALSE))</f>
        <v/>
      </c>
      <c r="AO11" t="str">
        <f>IF($B12="","",$D12/100*VLOOKUP(TRIM($B12),Base_bromato!$A:$AM,32,FALSE))</f>
        <v/>
      </c>
      <c r="AP11" t="str">
        <f>IF($B12="","",$D12/100*VLOOKUP(TRIM($B12),Base_bromato!$A:$AM,33,FALSE))</f>
        <v/>
      </c>
      <c r="AQ11" t="str">
        <f>IF($B12="","",$D12/100*VLOOKUP(TRIM($B12),Base_bromato!$A:$AM,34,FALSE))</f>
        <v/>
      </c>
      <c r="AR11" t="str">
        <f>IF($B12="","",$D12/100*VLOOKUP(TRIM($B12),Base_bromato!$A:$AM,35,FALSE))</f>
        <v/>
      </c>
      <c r="AS11" t="str">
        <f>IF($B12="","",$D12/100*VLOOKUP(TRIM($B12),Base_bromato!$A:$AM,36,FALSE))</f>
        <v/>
      </c>
      <c r="AT11" t="str">
        <f>IF($B12="","",$D12/100*VLOOKUP(TRIM($B12),Base_bromato!$A:$AM,37,FALSE))</f>
        <v/>
      </c>
      <c r="AU11" t="str">
        <f>IF($B12="","",$D12/100*VLOOKUP(TRIM($B12),Base_bromato!$A:$AM,38,FALSE))</f>
        <v/>
      </c>
      <c r="AV11" t="str">
        <f>IF($B12="","",$D12/100*VLOOKUP(TRIM($B12),Base_bromato!$A:$AM,39,FALSE))</f>
        <v/>
      </c>
    </row>
    <row r="12" spans="1:48" ht="19.5" thickBot="1" x14ac:dyDescent="0.3">
      <c r="B12" s="41"/>
      <c r="C12" s="41"/>
      <c r="D12" s="11"/>
      <c r="E12" s="11"/>
      <c r="F12" s="11">
        <f t="shared" si="1"/>
        <v>0</v>
      </c>
      <c r="G12" s="42"/>
      <c r="H12" s="5" t="s">
        <v>8</v>
      </c>
      <c r="I12" s="15" t="str">
        <f>INDEX(Base_bromato!$C$68:$L$104,MATCH(Formular!H12,Base_bromato!$B$68:$B$104,0),MATCH(Formular!$E$3,Base_bromato!$C$67:$L$67,0))</f>
        <v>0,50-0,53</v>
      </c>
      <c r="J12" s="16" t="str">
        <f t="shared" ca="1" si="0"/>
        <v/>
      </c>
      <c r="K12" s="6"/>
      <c r="L12" t="str">
        <f>IF($B13="","",$D13/100*VLOOKUP(TRIM($B13),Base_bromato!$A:$AM,3,FALSE))</f>
        <v/>
      </c>
      <c r="M12" t="str">
        <f>IF($B13="","",$D13/100*VLOOKUP(TRIM($B13),Base_bromato!$A:$AM,4,FALSE))</f>
        <v/>
      </c>
      <c r="N12" t="str">
        <f>IF($B13="","",$D13/100*VLOOKUP(TRIM($B13),Base_bromato!$A:$AM,5,FALSE))</f>
        <v/>
      </c>
      <c r="O12" t="str">
        <f>IF($B13="","",$D13/100*VLOOKUP(TRIM($B13),Base_bromato!$A:$AM,6,FALSE))</f>
        <v/>
      </c>
      <c r="P12" t="str">
        <f>IF($B13="","",$D13/100*VLOOKUP(TRIM($B13),Base_bromato!$A:$AM,7,FALSE))</f>
        <v/>
      </c>
      <c r="Q12" t="str">
        <f>IF($B13="","",$D13/100*VLOOKUP(TRIM($B13),Base_bromato!$A:$AM,8,FALSE))</f>
        <v/>
      </c>
      <c r="R12" t="str">
        <f>IF($B13="","",$D13/100*VLOOKUP(TRIM($B13),Base_bromato!$A:$AM,9,FALSE))</f>
        <v/>
      </c>
      <c r="S12" t="str">
        <f>IF($B13="","",$D13/100*VLOOKUP(TRIM($B13),Base_bromato!$A:$AM,10,FALSE))</f>
        <v/>
      </c>
      <c r="T12" t="str">
        <f>IF($B13="","",$D13/100*VLOOKUP(TRIM($B13),Base_bromato!$A:$AM,11,FALSE))</f>
        <v/>
      </c>
      <c r="U12" t="str">
        <f>IF($B13="","",$D13/100*VLOOKUP(TRIM($B13),Base_bromato!$A:$AM,12,FALSE))</f>
        <v/>
      </c>
      <c r="V12" t="str">
        <f>IF($B13="","",$D13/100*VLOOKUP(TRIM($B13),Base_bromato!$A:$AM,13,FALSE))</f>
        <v/>
      </c>
      <c r="W12" t="str">
        <f>IF($B13="","",$D13/100*VLOOKUP(TRIM($B13),Base_bromato!$A:$AM,14,FALSE))</f>
        <v/>
      </c>
      <c r="X12" t="str">
        <f>IF($B13="","",$D13/100*VLOOKUP(TRIM($B13),Base_bromato!$A:$AM,15,FALSE))</f>
        <v/>
      </c>
      <c r="Y12" t="str">
        <f>IF($B13="","",$D13/100*VLOOKUP(TRIM($B13),Base_bromato!$A:$AM,16,FALSE))</f>
        <v/>
      </c>
      <c r="Z12" t="str">
        <f>IF($B13="","",$D13/100*VLOOKUP(TRIM($B13),Base_bromato!$A:$AM,17,FALSE))</f>
        <v/>
      </c>
      <c r="AA12" t="str">
        <f>IF($B13="","",$D13/100*VLOOKUP(TRIM($B13),Base_bromato!$A:$AM,18,FALSE))</f>
        <v/>
      </c>
      <c r="AB12" t="str">
        <f>IF($B13="","",$D13/100*VLOOKUP(TRIM($B13),Base_bromato!$A:$AM,19,FALSE))</f>
        <v/>
      </c>
      <c r="AC12" t="str">
        <f>IF($B13="","",$D13/100*VLOOKUP(TRIM($B13),Base_bromato!$A:$AM,20,FALSE))</f>
        <v/>
      </c>
      <c r="AD12" t="str">
        <f>IF($B13="","",$D13/100*VLOOKUP(TRIM($B13),Base_bromato!$A:$AM,21,FALSE))</f>
        <v/>
      </c>
      <c r="AE12" t="str">
        <f>IF($B13="","",$D13/100*VLOOKUP(TRIM($B13),Base_bromato!$A:$AM,22,FALSE))</f>
        <v/>
      </c>
      <c r="AF12" t="str">
        <f>IF($B13="","",$D13/100*VLOOKUP(TRIM($B13),Base_bromato!$A:$AM,23,FALSE))</f>
        <v/>
      </c>
      <c r="AG12" t="str">
        <f>IF($B13="","",$D13/100*VLOOKUP(TRIM($B13),Base_bromato!$A:$AM,24,FALSE))</f>
        <v/>
      </c>
      <c r="AH12" t="str">
        <f>IF($B13="","",$D13/100*VLOOKUP(TRIM($B13),Base_bromato!$A:$AM,25,FALSE))</f>
        <v/>
      </c>
      <c r="AI12" t="str">
        <f>IF($B13="","",$D13/100*VLOOKUP(TRIM($B13),Base_bromato!$A:$AM,26,FALSE))</f>
        <v/>
      </c>
      <c r="AJ12" t="str">
        <f>IF($B13="","",$D13/100*VLOOKUP(TRIM($B13),Base_bromato!$A:$AM,27,FALSE))</f>
        <v/>
      </c>
      <c r="AK12" t="str">
        <f>IF($B13="","",$D13/100*VLOOKUP(TRIM($B13),Base_bromato!$A:$AM,28,FALSE))</f>
        <v/>
      </c>
      <c r="AL12" t="str">
        <f>IF($B13="","",$D13/100*VLOOKUP(TRIM($B13),Base_bromato!$A:$AM,29,FALSE))</f>
        <v/>
      </c>
      <c r="AM12" t="str">
        <f>IF($B13="","",$D13/100*VLOOKUP(TRIM($B13),Base_bromato!$A:$AM,30,FALSE))</f>
        <v/>
      </c>
      <c r="AN12" t="str">
        <f>IF($B13="","",$D13/100*VLOOKUP(TRIM($B13),Base_bromato!$A:$AM,31,FALSE))</f>
        <v/>
      </c>
      <c r="AO12" t="str">
        <f>IF($B13="","",$D13/100*VLOOKUP(TRIM($B13),Base_bromato!$A:$AM,32,FALSE))</f>
        <v/>
      </c>
      <c r="AP12" t="str">
        <f>IF($B13="","",$D13/100*VLOOKUP(TRIM($B13),Base_bromato!$A:$AM,33,FALSE))</f>
        <v/>
      </c>
      <c r="AQ12" t="str">
        <f>IF($B13="","",$D13/100*VLOOKUP(TRIM($B13),Base_bromato!$A:$AM,34,FALSE))</f>
        <v/>
      </c>
      <c r="AR12" t="str">
        <f>IF($B13="","",$D13/100*VLOOKUP(TRIM($B13),Base_bromato!$A:$AM,35,FALSE))</f>
        <v/>
      </c>
      <c r="AS12" t="str">
        <f>IF($B13="","",$D13/100*VLOOKUP(TRIM($B13),Base_bromato!$A:$AM,36,FALSE))</f>
        <v/>
      </c>
      <c r="AT12" t="str">
        <f>IF($B13="","",$D13/100*VLOOKUP(TRIM($B13),Base_bromato!$A:$AM,37,FALSE))</f>
        <v/>
      </c>
      <c r="AU12" t="str">
        <f>IF($B13="","",$D13/100*VLOOKUP(TRIM($B13),Base_bromato!$A:$AM,38,FALSE))</f>
        <v/>
      </c>
      <c r="AV12" t="str">
        <f>IF($B13="","",$D13/100*VLOOKUP(TRIM($B13),Base_bromato!$A:$AM,39,FALSE))</f>
        <v/>
      </c>
    </row>
    <row r="13" spans="1:48" ht="19.5" thickBot="1" x14ac:dyDescent="0.3">
      <c r="B13" s="41"/>
      <c r="C13" s="41"/>
      <c r="D13" s="11"/>
      <c r="E13" s="11"/>
      <c r="F13" s="11">
        <f t="shared" si="1"/>
        <v>0</v>
      </c>
      <c r="G13" s="42"/>
      <c r="H13" s="5" t="s">
        <v>7</v>
      </c>
      <c r="I13" s="15" t="str">
        <f>INDEX(Base_bromato!$C$68:$L$104,MATCH(Formular!H13,Base_bromato!$B$68:$B$104,0),MATCH(Formular!$E$3,Base_bromato!$C$67:$L$67,0))</f>
        <v>0,168-0,175</v>
      </c>
      <c r="J13" s="16" t="str">
        <f t="shared" ca="1" si="0"/>
        <v/>
      </c>
      <c r="K13" s="6"/>
      <c r="L13" t="str">
        <f>IF($B14="","",$D14/100*VLOOKUP(TRIM($B14),Base_bromato!$A:$AM,3,FALSE))</f>
        <v/>
      </c>
      <c r="M13" t="str">
        <f>IF($B14="","",$D14/100*VLOOKUP(TRIM($B14),Base_bromato!$A:$AM,4,FALSE))</f>
        <v/>
      </c>
      <c r="N13" t="str">
        <f>IF($B14="","",$D14/100*VLOOKUP(TRIM($B14),Base_bromato!$A:$AM,5,FALSE))</f>
        <v/>
      </c>
      <c r="O13" t="str">
        <f>IF($B14="","",$D14/100*VLOOKUP(TRIM($B14),Base_bromato!$A:$AM,6,FALSE))</f>
        <v/>
      </c>
      <c r="P13" t="str">
        <f>IF($B14="","",$D14/100*VLOOKUP(TRIM($B14),Base_bromato!$A:$AM,7,FALSE))</f>
        <v/>
      </c>
      <c r="Q13" t="str">
        <f>IF($B14="","",$D14/100*VLOOKUP(TRIM($B14),Base_bromato!$A:$AM,8,FALSE))</f>
        <v/>
      </c>
      <c r="R13" t="str">
        <f>IF($B14="","",$D14/100*VLOOKUP(TRIM($B14),Base_bromato!$A:$AM,9,FALSE))</f>
        <v/>
      </c>
      <c r="S13" t="str">
        <f>IF($B14="","",$D14/100*VLOOKUP(TRIM($B14),Base_bromato!$A:$AM,10,FALSE))</f>
        <v/>
      </c>
      <c r="T13" t="str">
        <f>IF($B14="","",$D14/100*VLOOKUP(TRIM($B14),Base_bromato!$A:$AM,11,FALSE))</f>
        <v/>
      </c>
      <c r="U13" t="str">
        <f>IF($B14="","",$D14/100*VLOOKUP(TRIM($B14),Base_bromato!$A:$AM,12,FALSE))</f>
        <v/>
      </c>
      <c r="V13" t="str">
        <f>IF($B14="","",$D14/100*VLOOKUP(TRIM($B14),Base_bromato!$A:$AM,13,FALSE))</f>
        <v/>
      </c>
      <c r="W13" t="str">
        <f>IF($B14="","",$D14/100*VLOOKUP(TRIM($B14),Base_bromato!$A:$AM,14,FALSE))</f>
        <v/>
      </c>
      <c r="X13" t="str">
        <f>IF($B14="","",$D14/100*VLOOKUP(TRIM($B14),Base_bromato!$A:$AM,15,FALSE))</f>
        <v/>
      </c>
      <c r="Y13" t="str">
        <f>IF($B14="","",$D14/100*VLOOKUP(TRIM($B14),Base_bromato!$A:$AM,16,FALSE))</f>
        <v/>
      </c>
      <c r="Z13" t="str">
        <f>IF($B14="","",$D14/100*VLOOKUP(TRIM($B14),Base_bromato!$A:$AM,17,FALSE))</f>
        <v/>
      </c>
      <c r="AA13" t="str">
        <f>IF($B14="","",$D14/100*VLOOKUP(TRIM($B14),Base_bromato!$A:$AM,18,FALSE))</f>
        <v/>
      </c>
      <c r="AB13" t="str">
        <f>IF($B14="","",$D14/100*VLOOKUP(TRIM($B14),Base_bromato!$A:$AM,19,FALSE))</f>
        <v/>
      </c>
      <c r="AC13" t="str">
        <f>IF($B14="","",$D14/100*VLOOKUP(TRIM($B14),Base_bromato!$A:$AM,20,FALSE))</f>
        <v/>
      </c>
      <c r="AD13" t="str">
        <f>IF($B14="","",$D14/100*VLOOKUP(TRIM($B14),Base_bromato!$A:$AM,21,FALSE))</f>
        <v/>
      </c>
      <c r="AE13" t="str">
        <f>IF($B14="","",$D14/100*VLOOKUP(TRIM($B14),Base_bromato!$A:$AM,22,FALSE))</f>
        <v/>
      </c>
      <c r="AF13" t="str">
        <f>IF($B14="","",$D14/100*VLOOKUP(TRIM($B14),Base_bromato!$A:$AM,23,FALSE))</f>
        <v/>
      </c>
      <c r="AG13" t="str">
        <f>IF($B14="","",$D14/100*VLOOKUP(TRIM($B14),Base_bromato!$A:$AM,24,FALSE))</f>
        <v/>
      </c>
      <c r="AH13" t="str">
        <f>IF($B14="","",$D14/100*VLOOKUP(TRIM($B14),Base_bromato!$A:$AM,25,FALSE))</f>
        <v/>
      </c>
      <c r="AI13" t="str">
        <f>IF($B14="","",$D14/100*VLOOKUP(TRIM($B14),Base_bromato!$A:$AM,26,FALSE))</f>
        <v/>
      </c>
      <c r="AJ13" t="str">
        <f>IF($B14="","",$D14/100*VLOOKUP(TRIM($B14),Base_bromato!$A:$AM,27,FALSE))</f>
        <v/>
      </c>
      <c r="AK13" t="str">
        <f>IF($B14="","",$D14/100*VLOOKUP(TRIM($B14),Base_bromato!$A:$AM,28,FALSE))</f>
        <v/>
      </c>
      <c r="AL13" t="str">
        <f>IF($B14="","",$D14/100*VLOOKUP(TRIM($B14),Base_bromato!$A:$AM,29,FALSE))</f>
        <v/>
      </c>
      <c r="AM13" t="str">
        <f>IF($B14="","",$D14/100*VLOOKUP(TRIM($B14),Base_bromato!$A:$AM,30,FALSE))</f>
        <v/>
      </c>
      <c r="AN13" t="str">
        <f>IF($B14="","",$D14/100*VLOOKUP(TRIM($B14),Base_bromato!$A:$AM,31,FALSE))</f>
        <v/>
      </c>
      <c r="AO13" t="str">
        <f>IF($B14="","",$D14/100*VLOOKUP(TRIM($B14),Base_bromato!$A:$AM,32,FALSE))</f>
        <v/>
      </c>
      <c r="AP13" t="str">
        <f>IF($B14="","",$D14/100*VLOOKUP(TRIM($B14),Base_bromato!$A:$AM,33,FALSE))</f>
        <v/>
      </c>
      <c r="AQ13" t="str">
        <f>IF($B14="","",$D14/100*VLOOKUP(TRIM($B14),Base_bromato!$A:$AM,34,FALSE))</f>
        <v/>
      </c>
      <c r="AR13" t="str">
        <f>IF($B14="","",$D14/100*VLOOKUP(TRIM($B14),Base_bromato!$A:$AM,35,FALSE))</f>
        <v/>
      </c>
      <c r="AS13" t="str">
        <f>IF($B14="","",$D14/100*VLOOKUP(TRIM($B14),Base_bromato!$A:$AM,36,FALSE))</f>
        <v/>
      </c>
      <c r="AT13" t="str">
        <f>IF($B14="","",$D14/100*VLOOKUP(TRIM($B14),Base_bromato!$A:$AM,37,FALSE))</f>
        <v/>
      </c>
      <c r="AU13" t="str">
        <f>IF($B14="","",$D14/100*VLOOKUP(TRIM($B14),Base_bromato!$A:$AM,38,FALSE))</f>
        <v/>
      </c>
      <c r="AV13" t="str">
        <f>IF($B14="","",$D14/100*VLOOKUP(TRIM($B14),Base_bromato!$A:$AM,39,FALSE))</f>
        <v/>
      </c>
    </row>
    <row r="14" spans="1:48" ht="19.5" thickBot="1" x14ac:dyDescent="0.3">
      <c r="B14" s="41"/>
      <c r="C14" s="41"/>
      <c r="D14" s="11"/>
      <c r="E14" s="11"/>
      <c r="F14" s="11">
        <f t="shared" si="1"/>
        <v>0</v>
      </c>
      <c r="G14" s="42"/>
      <c r="H14" s="5" t="s">
        <v>10</v>
      </c>
      <c r="I14" s="15" t="str">
        <f>INDEX(Base_bromato!$C$68:$L$104,MATCH(Formular!H14,Base_bromato!$B$68:$B$104,0),MATCH(Formular!$E$3,Base_bromato!$C$67:$L$67,0))</f>
        <v>0,90-1,0</v>
      </c>
      <c r="J14" s="16" t="str">
        <f t="shared" ca="1" si="0"/>
        <v/>
      </c>
      <c r="K14" s="6"/>
      <c r="L14" t="str">
        <f>IF($B15="","",$D15/100*VLOOKUP(TRIM($B15),Base_bromato!$A:$AM,3,FALSE))</f>
        <v/>
      </c>
      <c r="M14" t="str">
        <f>IF($B15="","",$D15/100*VLOOKUP(TRIM($B15),Base_bromato!$A:$AM,4,FALSE))</f>
        <v/>
      </c>
      <c r="N14" t="str">
        <f>IF($B15="","",$D15/100*VLOOKUP(TRIM($B15),Base_bromato!$A:$AM,5,FALSE))</f>
        <v/>
      </c>
      <c r="O14" t="str">
        <f>IF($B15="","",$D15/100*VLOOKUP(TRIM($B15),Base_bromato!$A:$AM,6,FALSE))</f>
        <v/>
      </c>
      <c r="P14" t="str">
        <f>IF($B15="","",$D15/100*VLOOKUP(TRIM($B15),Base_bromato!$A:$AM,7,FALSE))</f>
        <v/>
      </c>
      <c r="Q14" t="str">
        <f>IF($B15="","",$D15/100*VLOOKUP(TRIM($B15),Base_bromato!$A:$AM,8,FALSE))</f>
        <v/>
      </c>
      <c r="R14" t="str">
        <f>IF($B15="","",$D15/100*VLOOKUP(TRIM($B15),Base_bromato!$A:$AM,9,FALSE))</f>
        <v/>
      </c>
      <c r="S14" t="str">
        <f>IF($B15="","",$D15/100*VLOOKUP(TRIM($B15),Base_bromato!$A:$AM,10,FALSE))</f>
        <v/>
      </c>
      <c r="T14" t="str">
        <f>IF($B15="","",$D15/100*VLOOKUP(TRIM($B15),Base_bromato!$A:$AM,11,FALSE))</f>
        <v/>
      </c>
      <c r="U14" t="str">
        <f>IF($B15="","",$D15/100*VLOOKUP(TRIM($B15),Base_bromato!$A:$AM,12,FALSE))</f>
        <v/>
      </c>
      <c r="V14" t="str">
        <f>IF($B15="","",$D15/100*VLOOKUP(TRIM($B15),Base_bromato!$A:$AM,13,FALSE))</f>
        <v/>
      </c>
      <c r="W14" t="str">
        <f>IF($B15="","",$D15/100*VLOOKUP(TRIM($B15),Base_bromato!$A:$AM,14,FALSE))</f>
        <v/>
      </c>
      <c r="X14" t="str">
        <f>IF($B15="","",$D15/100*VLOOKUP(TRIM($B15),Base_bromato!$A:$AM,15,FALSE))</f>
        <v/>
      </c>
      <c r="Y14" t="str">
        <f>IF($B15="","",$D15/100*VLOOKUP(TRIM($B15),Base_bromato!$A:$AM,16,FALSE))</f>
        <v/>
      </c>
      <c r="Z14" t="str">
        <f>IF($B15="","",$D15/100*VLOOKUP(TRIM($B15),Base_bromato!$A:$AM,17,FALSE))</f>
        <v/>
      </c>
      <c r="AA14" t="str">
        <f>IF($B15="","",$D15/100*VLOOKUP(TRIM($B15),Base_bromato!$A:$AM,18,FALSE))</f>
        <v/>
      </c>
      <c r="AB14" t="str">
        <f>IF($B15="","",$D15/100*VLOOKUP(TRIM($B15),Base_bromato!$A:$AM,19,FALSE))</f>
        <v/>
      </c>
      <c r="AC14" t="str">
        <f>IF($B15="","",$D15/100*VLOOKUP(TRIM($B15),Base_bromato!$A:$AM,20,FALSE))</f>
        <v/>
      </c>
      <c r="AD14" t="str">
        <f>IF($B15="","",$D15/100*VLOOKUP(TRIM($B15),Base_bromato!$A:$AM,21,FALSE))</f>
        <v/>
      </c>
      <c r="AE14" t="str">
        <f>IF($B15="","",$D15/100*VLOOKUP(TRIM($B15),Base_bromato!$A:$AM,22,FALSE))</f>
        <v/>
      </c>
      <c r="AF14" t="str">
        <f>IF($B15="","",$D15/100*VLOOKUP(TRIM($B15),Base_bromato!$A:$AM,23,FALSE))</f>
        <v/>
      </c>
      <c r="AG14" t="str">
        <f>IF($B15="","",$D15/100*VLOOKUP(TRIM($B15),Base_bromato!$A:$AM,24,FALSE))</f>
        <v/>
      </c>
      <c r="AH14" t="str">
        <f>IF($B15="","",$D15/100*VLOOKUP(TRIM($B15),Base_bromato!$A:$AM,25,FALSE))</f>
        <v/>
      </c>
      <c r="AI14" t="str">
        <f>IF($B15="","",$D15/100*VLOOKUP(TRIM($B15),Base_bromato!$A:$AM,26,FALSE))</f>
        <v/>
      </c>
      <c r="AJ14" t="str">
        <f>IF($B15="","",$D15/100*VLOOKUP(TRIM($B15),Base_bromato!$A:$AM,27,FALSE))</f>
        <v/>
      </c>
      <c r="AK14" t="str">
        <f>IF($B15="","",$D15/100*VLOOKUP(TRIM($B15),Base_bromato!$A:$AM,28,FALSE))</f>
        <v/>
      </c>
      <c r="AL14" t="str">
        <f>IF($B15="","",$D15/100*VLOOKUP(TRIM($B15),Base_bromato!$A:$AM,29,FALSE))</f>
        <v/>
      </c>
      <c r="AM14" t="str">
        <f>IF($B15="","",$D15/100*VLOOKUP(TRIM($B15),Base_bromato!$A:$AM,30,FALSE))</f>
        <v/>
      </c>
      <c r="AN14" t="str">
        <f>IF($B15="","",$D15/100*VLOOKUP(TRIM($B15),Base_bromato!$A:$AM,31,FALSE))</f>
        <v/>
      </c>
      <c r="AO14" t="str">
        <f>IF($B15="","",$D15/100*VLOOKUP(TRIM($B15),Base_bromato!$A:$AM,32,FALSE))</f>
        <v/>
      </c>
      <c r="AP14" t="str">
        <f>IF($B15="","",$D15/100*VLOOKUP(TRIM($B15),Base_bromato!$A:$AM,33,FALSE))</f>
        <v/>
      </c>
      <c r="AQ14" t="str">
        <f>IF($B15="","",$D15/100*VLOOKUP(TRIM($B15),Base_bromato!$A:$AM,34,FALSE))</f>
        <v/>
      </c>
      <c r="AR14" t="str">
        <f>IF($B15="","",$D15/100*VLOOKUP(TRIM($B15),Base_bromato!$A:$AM,35,FALSE))</f>
        <v/>
      </c>
      <c r="AS14" t="str">
        <f>IF($B15="","",$D15/100*VLOOKUP(TRIM($B15),Base_bromato!$A:$AM,36,FALSE))</f>
        <v/>
      </c>
      <c r="AT14" t="str">
        <f>IF($B15="","",$D15/100*VLOOKUP(TRIM($B15),Base_bromato!$A:$AM,37,FALSE))</f>
        <v/>
      </c>
      <c r="AU14" t="str">
        <f>IF($B15="","",$D15/100*VLOOKUP(TRIM($B15),Base_bromato!$A:$AM,38,FALSE))</f>
        <v/>
      </c>
      <c r="AV14" t="str">
        <f>IF($B15="","",$D15/100*VLOOKUP(TRIM($B15),Base_bromato!$A:$AM,39,FALSE))</f>
        <v/>
      </c>
    </row>
    <row r="15" spans="1:48" ht="19.5" thickBot="1" x14ac:dyDescent="0.3">
      <c r="B15" s="41"/>
      <c r="C15" s="41"/>
      <c r="D15" s="11"/>
      <c r="E15" s="11"/>
      <c r="F15" s="11">
        <f t="shared" si="1"/>
        <v>0</v>
      </c>
      <c r="G15" s="42"/>
      <c r="H15" s="5" t="s">
        <v>9</v>
      </c>
      <c r="I15" s="15" t="str">
        <f>INDEX(Base_bromato!$C$68:$L$104,MATCH(Formular!H15,Base_bromato!$B$68:$B$104,0),MATCH(Formular!$E$3,Base_bromato!$C$67:$L$67,0))</f>
        <v>0,36-0,38</v>
      </c>
      <c r="J15" s="16" t="str">
        <f t="shared" ca="1" si="0"/>
        <v/>
      </c>
      <c r="K15" s="6"/>
      <c r="L15" t="str">
        <f>IF($B16="","",$D16/100*VLOOKUP(TRIM($B16),Base_bromato!$A:$AM,3,FALSE))</f>
        <v/>
      </c>
      <c r="M15" t="str">
        <f>IF($B16="","",$D16/100*VLOOKUP(TRIM($B16),Base_bromato!$A:$AM,4,FALSE))</f>
        <v/>
      </c>
      <c r="N15" t="str">
        <f>IF($B16="","",$D16/100*VLOOKUP(TRIM($B16),Base_bromato!$A:$AM,5,FALSE))</f>
        <v/>
      </c>
      <c r="O15" t="str">
        <f>IF($B16="","",$D16/100*VLOOKUP(TRIM($B16),Base_bromato!$A:$AM,6,FALSE))</f>
        <v/>
      </c>
      <c r="P15" t="str">
        <f>IF($B16="","",$D16/100*VLOOKUP(TRIM($B16),Base_bromato!$A:$AM,7,FALSE))</f>
        <v/>
      </c>
      <c r="Q15" t="str">
        <f>IF($B16="","",$D16/100*VLOOKUP(TRIM($B16),Base_bromato!$A:$AM,8,FALSE))</f>
        <v/>
      </c>
      <c r="R15" t="str">
        <f>IF($B16="","",$D16/100*VLOOKUP(TRIM($B16),Base_bromato!$A:$AM,9,FALSE))</f>
        <v/>
      </c>
      <c r="S15" t="str">
        <f>IF($B16="","",$D16/100*VLOOKUP(TRIM($B16),Base_bromato!$A:$AM,10,FALSE))</f>
        <v/>
      </c>
      <c r="T15" t="str">
        <f>IF($B16="","",$D16/100*VLOOKUP(TRIM($B16),Base_bromato!$A:$AM,11,FALSE))</f>
        <v/>
      </c>
      <c r="U15" t="str">
        <f>IF($B16="","",$D16/100*VLOOKUP(TRIM($B16),Base_bromato!$A:$AM,12,FALSE))</f>
        <v/>
      </c>
      <c r="V15" t="str">
        <f>IF($B16="","",$D16/100*VLOOKUP(TRIM($B16),Base_bromato!$A:$AM,13,FALSE))</f>
        <v/>
      </c>
      <c r="W15" t="str">
        <f>IF($B16="","",$D16/100*VLOOKUP(TRIM($B16),Base_bromato!$A:$AM,14,FALSE))</f>
        <v/>
      </c>
      <c r="X15" t="str">
        <f>IF($B16="","",$D16/100*VLOOKUP(TRIM($B16),Base_bromato!$A:$AM,15,FALSE))</f>
        <v/>
      </c>
      <c r="Y15" t="str">
        <f>IF($B16="","",$D16/100*VLOOKUP(TRIM($B16),Base_bromato!$A:$AM,16,FALSE))</f>
        <v/>
      </c>
      <c r="Z15" t="str">
        <f>IF($B16="","",$D16/100*VLOOKUP(TRIM($B16),Base_bromato!$A:$AM,17,FALSE))</f>
        <v/>
      </c>
      <c r="AA15" t="str">
        <f>IF($B16="","",$D16/100*VLOOKUP(TRIM($B16),Base_bromato!$A:$AM,18,FALSE))</f>
        <v/>
      </c>
      <c r="AB15" t="str">
        <f>IF($B16="","",$D16/100*VLOOKUP(TRIM($B16),Base_bromato!$A:$AM,19,FALSE))</f>
        <v/>
      </c>
      <c r="AC15" t="str">
        <f>IF($B16="","",$D16/100*VLOOKUP(TRIM($B16),Base_bromato!$A:$AM,20,FALSE))</f>
        <v/>
      </c>
      <c r="AD15" t="str">
        <f>IF($B16="","",$D16/100*VLOOKUP(TRIM($B16),Base_bromato!$A:$AM,21,FALSE))</f>
        <v/>
      </c>
      <c r="AE15" t="str">
        <f>IF($B16="","",$D16/100*VLOOKUP(TRIM($B16),Base_bromato!$A:$AM,22,FALSE))</f>
        <v/>
      </c>
      <c r="AF15" t="str">
        <f>IF($B16="","",$D16/100*VLOOKUP(TRIM($B16),Base_bromato!$A:$AM,23,FALSE))</f>
        <v/>
      </c>
      <c r="AG15" t="str">
        <f>IF($B16="","",$D16/100*VLOOKUP(TRIM($B16),Base_bromato!$A:$AM,24,FALSE))</f>
        <v/>
      </c>
      <c r="AH15" t="str">
        <f>IF($B16="","",$D16/100*VLOOKUP(TRIM($B16),Base_bromato!$A:$AM,25,FALSE))</f>
        <v/>
      </c>
      <c r="AI15" t="str">
        <f>IF($B16="","",$D16/100*VLOOKUP(TRIM($B16),Base_bromato!$A:$AM,26,FALSE))</f>
        <v/>
      </c>
      <c r="AJ15" t="str">
        <f>IF($B16="","",$D16/100*VLOOKUP(TRIM($B16),Base_bromato!$A:$AM,27,FALSE))</f>
        <v/>
      </c>
      <c r="AK15" t="str">
        <f>IF($B16="","",$D16/100*VLOOKUP(TRIM($B16),Base_bromato!$A:$AM,28,FALSE))</f>
        <v/>
      </c>
      <c r="AL15" t="str">
        <f>IF($B16="","",$D16/100*VLOOKUP(TRIM($B16),Base_bromato!$A:$AM,29,FALSE))</f>
        <v/>
      </c>
      <c r="AM15" t="str">
        <f>IF($B16="","",$D16/100*VLOOKUP(TRIM($B16),Base_bromato!$A:$AM,30,FALSE))</f>
        <v/>
      </c>
      <c r="AN15" t="str">
        <f>IF($B16="","",$D16/100*VLOOKUP(TRIM($B16),Base_bromato!$A:$AM,31,FALSE))</f>
        <v/>
      </c>
      <c r="AO15" t="str">
        <f>IF($B16="","",$D16/100*VLOOKUP(TRIM($B16),Base_bromato!$A:$AM,32,FALSE))</f>
        <v/>
      </c>
      <c r="AP15" t="str">
        <f>IF($B16="","",$D16/100*VLOOKUP(TRIM($B16),Base_bromato!$A:$AM,33,FALSE))</f>
        <v/>
      </c>
      <c r="AQ15" t="str">
        <f>IF($B16="","",$D16/100*VLOOKUP(TRIM($B16),Base_bromato!$A:$AM,34,FALSE))</f>
        <v/>
      </c>
      <c r="AR15" t="str">
        <f>IF($B16="","",$D16/100*VLOOKUP(TRIM($B16),Base_bromato!$A:$AM,35,FALSE))</f>
        <v/>
      </c>
      <c r="AS15" t="str">
        <f>IF($B16="","",$D16/100*VLOOKUP(TRIM($B16),Base_bromato!$A:$AM,36,FALSE))</f>
        <v/>
      </c>
      <c r="AT15" t="str">
        <f>IF($B16="","",$D16/100*VLOOKUP(TRIM($B16),Base_bromato!$A:$AM,37,FALSE))</f>
        <v/>
      </c>
      <c r="AU15" t="str">
        <f>IF($B16="","",$D16/100*VLOOKUP(TRIM($B16),Base_bromato!$A:$AM,38,FALSE))</f>
        <v/>
      </c>
      <c r="AV15" t="str">
        <f>IF($B16="","",$D16/100*VLOOKUP(TRIM($B16),Base_bromato!$A:$AM,39,FALSE))</f>
        <v/>
      </c>
    </row>
    <row r="16" spans="1:48" ht="19.5" thickBot="1" x14ac:dyDescent="0.3">
      <c r="B16" s="41"/>
      <c r="C16" s="41"/>
      <c r="D16" s="11"/>
      <c r="E16" s="11"/>
      <c r="F16" s="11">
        <f t="shared" si="1"/>
        <v>0</v>
      </c>
      <c r="G16" s="42"/>
      <c r="H16" s="5" t="s">
        <v>11</v>
      </c>
      <c r="I16" s="15">
        <f>INDEX(Base_bromato!$C$68:$L$104,MATCH(Formular!H16,Base_bromato!$B$68:$B$104,0),MATCH(Formular!$E$3,Base_bromato!$C$67:$L$67,0))</f>
        <v>0.15</v>
      </c>
      <c r="J16" s="16" t="str">
        <f t="shared" ca="1" si="0"/>
        <v/>
      </c>
      <c r="K16" s="6"/>
      <c r="L16" t="str">
        <f>IF($B17="","",$D17/100*VLOOKUP(TRIM($B17),Base_bromato!$A:$AM,3,FALSE))</f>
        <v/>
      </c>
      <c r="M16" t="str">
        <f>IF($B17="","",$D17/100*VLOOKUP(TRIM($B17),Base_bromato!$A:$AM,4,FALSE))</f>
        <v/>
      </c>
      <c r="N16" t="str">
        <f>IF($B17="","",$D17/100*VLOOKUP(TRIM($B17),Base_bromato!$A:$AM,5,FALSE))</f>
        <v/>
      </c>
      <c r="O16" t="str">
        <f>IF($B17="","",$D17/100*VLOOKUP(TRIM($B17),Base_bromato!$A:$AM,6,FALSE))</f>
        <v/>
      </c>
      <c r="P16" t="str">
        <f>IF($B17="","",$D17/100*VLOOKUP(TRIM($B17),Base_bromato!$A:$AM,7,FALSE))</f>
        <v/>
      </c>
      <c r="Q16" t="str">
        <f>IF($B17="","",$D17/100*VLOOKUP(TRIM($B17),Base_bromato!$A:$AM,8,FALSE))</f>
        <v/>
      </c>
      <c r="R16" t="str">
        <f>IF($B17="","",$D17/100*VLOOKUP(TRIM($B17),Base_bromato!$A:$AM,9,FALSE))</f>
        <v/>
      </c>
      <c r="S16" t="str">
        <f>IF($B17="","",$D17/100*VLOOKUP(TRIM($B17),Base_bromato!$A:$AM,10,FALSE))</f>
        <v/>
      </c>
      <c r="T16" t="str">
        <f>IF($B17="","",$D17/100*VLOOKUP(TRIM($B17),Base_bromato!$A:$AM,11,FALSE))</f>
        <v/>
      </c>
      <c r="U16" t="str">
        <f>IF($B17="","",$D17/100*VLOOKUP(TRIM($B17),Base_bromato!$A:$AM,12,FALSE))</f>
        <v/>
      </c>
      <c r="V16" t="str">
        <f>IF($B17="","",$D17/100*VLOOKUP(TRIM($B17),Base_bromato!$A:$AM,13,FALSE))</f>
        <v/>
      </c>
      <c r="W16" t="str">
        <f>IF($B17="","",$D17/100*VLOOKUP(TRIM($B17),Base_bromato!$A:$AM,14,FALSE))</f>
        <v/>
      </c>
      <c r="X16" t="str">
        <f>IF($B17="","",$D17/100*VLOOKUP(TRIM($B17),Base_bromato!$A:$AM,15,FALSE))</f>
        <v/>
      </c>
      <c r="Y16" t="str">
        <f>IF($B17="","",$D17/100*VLOOKUP(TRIM($B17),Base_bromato!$A:$AM,16,FALSE))</f>
        <v/>
      </c>
      <c r="Z16" t="str">
        <f>IF($B17="","",$D17/100*VLOOKUP(TRIM($B17),Base_bromato!$A:$AM,17,FALSE))</f>
        <v/>
      </c>
      <c r="AA16" t="str">
        <f>IF($B17="","",$D17/100*VLOOKUP(TRIM($B17),Base_bromato!$A:$AM,18,FALSE))</f>
        <v/>
      </c>
      <c r="AB16" t="str">
        <f>IF($B17="","",$D17/100*VLOOKUP(TRIM($B17),Base_bromato!$A:$AM,19,FALSE))</f>
        <v/>
      </c>
      <c r="AC16" t="str">
        <f>IF($B17="","",$D17/100*VLOOKUP(TRIM($B17),Base_bromato!$A:$AM,20,FALSE))</f>
        <v/>
      </c>
      <c r="AD16" t="str">
        <f>IF($B17="","",$D17/100*VLOOKUP(TRIM($B17),Base_bromato!$A:$AM,21,FALSE))</f>
        <v/>
      </c>
      <c r="AE16" t="str">
        <f>IF($B17="","",$D17/100*VLOOKUP(TRIM($B17),Base_bromato!$A:$AM,22,FALSE))</f>
        <v/>
      </c>
      <c r="AF16" t="str">
        <f>IF($B17="","",$D17/100*VLOOKUP(TRIM($B17),Base_bromato!$A:$AM,23,FALSE))</f>
        <v/>
      </c>
      <c r="AG16" t="str">
        <f>IF($B17="","",$D17/100*VLOOKUP(TRIM($B17),Base_bromato!$A:$AM,24,FALSE))</f>
        <v/>
      </c>
      <c r="AH16" t="str">
        <f>IF($B17="","",$D17/100*VLOOKUP(TRIM($B17),Base_bromato!$A:$AM,25,FALSE))</f>
        <v/>
      </c>
      <c r="AI16" t="str">
        <f>IF($B17="","",$D17/100*VLOOKUP(TRIM($B17),Base_bromato!$A:$AM,26,FALSE))</f>
        <v/>
      </c>
      <c r="AJ16" t="str">
        <f>IF($B17="","",$D17/100*VLOOKUP(TRIM($B17),Base_bromato!$A:$AM,27,FALSE))</f>
        <v/>
      </c>
      <c r="AK16" t="str">
        <f>IF($B17="","",$D17/100*VLOOKUP(TRIM($B17),Base_bromato!$A:$AM,28,FALSE))</f>
        <v/>
      </c>
      <c r="AL16" t="str">
        <f>IF($B17="","",$D17/100*VLOOKUP(TRIM($B17),Base_bromato!$A:$AM,29,FALSE))</f>
        <v/>
      </c>
      <c r="AM16" t="str">
        <f>IF($B17="","",$D17/100*VLOOKUP(TRIM($B17),Base_bromato!$A:$AM,30,FALSE))</f>
        <v/>
      </c>
      <c r="AN16" t="str">
        <f>IF($B17="","",$D17/100*VLOOKUP(TRIM($B17),Base_bromato!$A:$AM,31,FALSE))</f>
        <v/>
      </c>
      <c r="AO16" t="str">
        <f>IF($B17="","",$D17/100*VLOOKUP(TRIM($B17),Base_bromato!$A:$AM,32,FALSE))</f>
        <v/>
      </c>
      <c r="AP16" t="str">
        <f>IF($B17="","",$D17/100*VLOOKUP(TRIM($B17),Base_bromato!$A:$AM,33,FALSE))</f>
        <v/>
      </c>
      <c r="AQ16" t="str">
        <f>IF($B17="","",$D17/100*VLOOKUP(TRIM($B17),Base_bromato!$A:$AM,34,FALSE))</f>
        <v/>
      </c>
      <c r="AR16" t="str">
        <f>IF($B17="","",$D17/100*VLOOKUP(TRIM($B17),Base_bromato!$A:$AM,35,FALSE))</f>
        <v/>
      </c>
      <c r="AS16" t="str">
        <f>IF($B17="","",$D17/100*VLOOKUP(TRIM($B17),Base_bromato!$A:$AM,36,FALSE))</f>
        <v/>
      </c>
      <c r="AT16" t="str">
        <f>IF($B17="","",$D17/100*VLOOKUP(TRIM($B17),Base_bromato!$A:$AM,37,FALSE))</f>
        <v/>
      </c>
      <c r="AU16" t="str">
        <f>IF($B17="","",$D17/100*VLOOKUP(TRIM($B17),Base_bromato!$A:$AM,38,FALSE))</f>
        <v/>
      </c>
      <c r="AV16" t="str">
        <f>IF($B17="","",$D17/100*VLOOKUP(TRIM($B17),Base_bromato!$A:$AM,39,FALSE))</f>
        <v/>
      </c>
    </row>
    <row r="17" spans="2:48" ht="19.5" thickBot="1" x14ac:dyDescent="0.3">
      <c r="B17" s="41"/>
      <c r="C17" s="41"/>
      <c r="D17" s="11"/>
      <c r="E17" s="11"/>
      <c r="F17" s="11">
        <f t="shared" si="1"/>
        <v>0</v>
      </c>
      <c r="G17" s="42"/>
      <c r="H17" s="5" t="s">
        <v>12</v>
      </c>
      <c r="I17" s="15">
        <f>INDEX(Base_bromato!$C$68:$L$104,MATCH(Formular!H17,Base_bromato!$B$68:$B$104,0),MATCH(Formular!$E$3,Base_bromato!$C$67:$L$67,0))</f>
        <v>0.76</v>
      </c>
      <c r="J17" s="16" t="str">
        <f t="shared" ca="1" si="0"/>
        <v/>
      </c>
      <c r="K17" s="6"/>
      <c r="L17" t="str">
        <f>IF($B18="","",$D18/100*VLOOKUP(TRIM($B18),Base_bromato!$A:$AM,3,FALSE))</f>
        <v/>
      </c>
      <c r="M17" t="str">
        <f>IF($B18="","",$D18/100*VLOOKUP(TRIM($B18),Base_bromato!$A:$AM,4,FALSE))</f>
        <v/>
      </c>
      <c r="N17" t="str">
        <f>IF($B18="","",$D18/100*VLOOKUP(TRIM($B18),Base_bromato!$A:$AM,5,FALSE))</f>
        <v/>
      </c>
      <c r="O17" t="str">
        <f>IF($B18="","",$D18/100*VLOOKUP(TRIM($B18),Base_bromato!$A:$AM,6,FALSE))</f>
        <v/>
      </c>
      <c r="P17" t="str">
        <f>IF($B18="","",$D18/100*VLOOKUP(TRIM($B18),Base_bromato!$A:$AM,7,FALSE))</f>
        <v/>
      </c>
      <c r="Q17" t="str">
        <f>IF($B18="","",$D18/100*VLOOKUP(TRIM($B18),Base_bromato!$A:$AM,8,FALSE))</f>
        <v/>
      </c>
      <c r="R17" t="str">
        <f>IF($B18="","",$D18/100*VLOOKUP(TRIM($B18),Base_bromato!$A:$AM,9,FALSE))</f>
        <v/>
      </c>
      <c r="S17" t="str">
        <f>IF($B18="","",$D18/100*VLOOKUP(TRIM($B18),Base_bromato!$A:$AM,10,FALSE))</f>
        <v/>
      </c>
      <c r="T17" t="str">
        <f>IF($B18="","",$D18/100*VLOOKUP(TRIM($B18),Base_bromato!$A:$AM,11,FALSE))</f>
        <v/>
      </c>
      <c r="U17" t="str">
        <f>IF($B18="","",$D18/100*VLOOKUP(TRIM($B18),Base_bromato!$A:$AM,12,FALSE))</f>
        <v/>
      </c>
      <c r="V17" t="str">
        <f>IF($B18="","",$D18/100*VLOOKUP(TRIM($B18),Base_bromato!$A:$AM,13,FALSE))</f>
        <v/>
      </c>
      <c r="W17" t="str">
        <f>IF($B18="","",$D18/100*VLOOKUP(TRIM($B18),Base_bromato!$A:$AM,14,FALSE))</f>
        <v/>
      </c>
      <c r="X17" t="str">
        <f>IF($B18="","",$D18/100*VLOOKUP(TRIM($B18),Base_bromato!$A:$AM,15,FALSE))</f>
        <v/>
      </c>
      <c r="Y17" t="str">
        <f>IF($B18="","",$D18/100*VLOOKUP(TRIM($B18),Base_bromato!$A:$AM,16,FALSE))</f>
        <v/>
      </c>
      <c r="Z17" t="str">
        <f>IF($B18="","",$D18/100*VLOOKUP(TRIM($B18),Base_bromato!$A:$AM,17,FALSE))</f>
        <v/>
      </c>
      <c r="AA17" t="str">
        <f>IF($B18="","",$D18/100*VLOOKUP(TRIM($B18),Base_bromato!$A:$AM,18,FALSE))</f>
        <v/>
      </c>
      <c r="AB17" t="str">
        <f>IF($B18="","",$D18/100*VLOOKUP(TRIM($B18),Base_bromato!$A:$AM,19,FALSE))</f>
        <v/>
      </c>
      <c r="AC17" t="str">
        <f>IF($B18="","",$D18/100*VLOOKUP(TRIM($B18),Base_bromato!$A:$AM,20,FALSE))</f>
        <v/>
      </c>
      <c r="AD17" t="str">
        <f>IF($B18="","",$D18/100*VLOOKUP(TRIM($B18),Base_bromato!$A:$AM,21,FALSE))</f>
        <v/>
      </c>
      <c r="AE17" t="str">
        <f>IF($B18="","",$D18/100*VLOOKUP(TRIM($B18),Base_bromato!$A:$AM,22,FALSE))</f>
        <v/>
      </c>
      <c r="AF17" t="str">
        <f>IF($B18="","",$D18/100*VLOOKUP(TRIM($B18),Base_bromato!$A:$AM,23,FALSE))</f>
        <v/>
      </c>
      <c r="AG17" t="str">
        <f>IF($B18="","",$D18/100*VLOOKUP(TRIM($B18),Base_bromato!$A:$AM,24,FALSE))</f>
        <v/>
      </c>
      <c r="AH17" t="str">
        <f>IF($B18="","",$D18/100*VLOOKUP(TRIM($B18),Base_bromato!$A:$AM,25,FALSE))</f>
        <v/>
      </c>
      <c r="AI17" t="str">
        <f>IF($B18="","",$D18/100*VLOOKUP(TRIM($B18),Base_bromato!$A:$AM,26,FALSE))</f>
        <v/>
      </c>
      <c r="AJ17" t="str">
        <f>IF($B18="","",$D18/100*VLOOKUP(TRIM($B18),Base_bromato!$A:$AM,27,FALSE))</f>
        <v/>
      </c>
      <c r="AK17" t="str">
        <f>IF($B18="","",$D18/100*VLOOKUP(TRIM($B18),Base_bromato!$A:$AM,28,FALSE))</f>
        <v/>
      </c>
      <c r="AL17" t="str">
        <f>IF($B18="","",$D18/100*VLOOKUP(TRIM($B18),Base_bromato!$A:$AM,29,FALSE))</f>
        <v/>
      </c>
      <c r="AM17" t="str">
        <f>IF($B18="","",$D18/100*VLOOKUP(TRIM($B18),Base_bromato!$A:$AM,30,FALSE))</f>
        <v/>
      </c>
      <c r="AN17" t="str">
        <f>IF($B18="","",$D18/100*VLOOKUP(TRIM($B18),Base_bromato!$A:$AM,31,FALSE))</f>
        <v/>
      </c>
      <c r="AO17" t="str">
        <f>IF($B18="","",$D18/100*VLOOKUP(TRIM($B18),Base_bromato!$A:$AM,32,FALSE))</f>
        <v/>
      </c>
      <c r="AP17" t="str">
        <f>IF($B18="","",$D18/100*VLOOKUP(TRIM($B18),Base_bromato!$A:$AM,33,FALSE))</f>
        <v/>
      </c>
      <c r="AQ17" t="str">
        <f>IF($B18="","",$D18/100*VLOOKUP(TRIM($B18),Base_bromato!$A:$AM,34,FALSE))</f>
        <v/>
      </c>
      <c r="AR17" t="str">
        <f>IF($B18="","",$D18/100*VLOOKUP(TRIM($B18),Base_bromato!$A:$AM,35,FALSE))</f>
        <v/>
      </c>
      <c r="AS17" t="str">
        <f>IF($B18="","",$D18/100*VLOOKUP(TRIM($B18),Base_bromato!$A:$AM,36,FALSE))</f>
        <v/>
      </c>
      <c r="AT17" t="str">
        <f>IF($B18="","",$D18/100*VLOOKUP(TRIM($B18),Base_bromato!$A:$AM,37,FALSE))</f>
        <v/>
      </c>
      <c r="AU17" t="str">
        <f>IF($B18="","",$D18/100*VLOOKUP(TRIM($B18),Base_bromato!$A:$AM,38,FALSE))</f>
        <v/>
      </c>
      <c r="AV17" t="str">
        <f>IF($B18="","",$D18/100*VLOOKUP(TRIM($B18),Base_bromato!$A:$AM,39,FALSE))</f>
        <v/>
      </c>
    </row>
    <row r="18" spans="2:48" ht="19.5" thickBot="1" x14ac:dyDescent="0.3">
      <c r="B18" s="41"/>
      <c r="C18" s="41"/>
      <c r="D18" s="11"/>
      <c r="E18" s="11"/>
      <c r="F18" s="11">
        <f t="shared" si="1"/>
        <v>0</v>
      </c>
      <c r="G18" s="42"/>
      <c r="H18" s="5" t="s">
        <v>40</v>
      </c>
      <c r="I18" s="15">
        <f>INDEX(Base_bromato!$C$68:$L$104,MATCH(Formular!H18,Base_bromato!$B$68:$B$104,0),MATCH(Formular!$E$3,Base_bromato!$C$67:$L$67,0))</f>
        <v>0.14000000000000001</v>
      </c>
      <c r="J18" s="16" t="str">
        <f t="shared" ca="1" si="0"/>
        <v/>
      </c>
      <c r="K18" s="6"/>
      <c r="L18" t="str">
        <f>IF($B19="","",$D19/100*VLOOKUP(TRIM($B19),Base_bromato!$A:$AM,3,FALSE))</f>
        <v/>
      </c>
      <c r="M18" t="str">
        <f>IF($B19="","",$D19/100*VLOOKUP(TRIM($B19),Base_bromato!$A:$AM,4,FALSE))</f>
        <v/>
      </c>
      <c r="N18" t="str">
        <f>IF($B19="","",$D19/100*VLOOKUP(TRIM($B19),Base_bromato!$A:$AM,5,FALSE))</f>
        <v/>
      </c>
      <c r="O18" t="str">
        <f>IF($B19="","",$D19/100*VLOOKUP(TRIM($B19),Base_bromato!$A:$AM,6,FALSE))</f>
        <v/>
      </c>
      <c r="P18" t="str">
        <f>IF($B19="","",$D19/100*VLOOKUP(TRIM($B19),Base_bromato!$A:$AM,7,FALSE))</f>
        <v/>
      </c>
      <c r="Q18" t="str">
        <f>IF($B19="","",$D19/100*VLOOKUP(TRIM($B19),Base_bromato!$A:$AM,8,FALSE))</f>
        <v/>
      </c>
      <c r="R18" t="str">
        <f>IF($B19="","",$D19/100*VLOOKUP(TRIM($B19),Base_bromato!$A:$AM,9,FALSE))</f>
        <v/>
      </c>
      <c r="S18" t="str">
        <f>IF($B19="","",$D19/100*VLOOKUP(TRIM($B19),Base_bromato!$A:$AM,10,FALSE))</f>
        <v/>
      </c>
      <c r="T18" t="str">
        <f>IF($B19="","",$D19/100*VLOOKUP(TRIM($B19),Base_bromato!$A:$AM,11,FALSE))</f>
        <v/>
      </c>
      <c r="U18" t="str">
        <f>IF($B19="","",$D19/100*VLOOKUP(TRIM($B19),Base_bromato!$A:$AM,12,FALSE))</f>
        <v/>
      </c>
      <c r="V18" t="str">
        <f>IF($B19="","",$D19/100*VLOOKUP(TRIM($B19),Base_bromato!$A:$AM,13,FALSE))</f>
        <v/>
      </c>
      <c r="W18" t="str">
        <f>IF($B19="","",$D19/100*VLOOKUP(TRIM($B19),Base_bromato!$A:$AM,14,FALSE))</f>
        <v/>
      </c>
      <c r="X18" t="str">
        <f>IF($B19="","",$D19/100*VLOOKUP(TRIM($B19),Base_bromato!$A:$AM,15,FALSE))</f>
        <v/>
      </c>
      <c r="Y18" t="str">
        <f>IF($B19="","",$D19/100*VLOOKUP(TRIM($B19),Base_bromato!$A:$AM,16,FALSE))</f>
        <v/>
      </c>
      <c r="Z18" t="str">
        <f>IF($B19="","",$D19/100*VLOOKUP(TRIM($B19),Base_bromato!$A:$AM,17,FALSE))</f>
        <v/>
      </c>
      <c r="AA18" t="str">
        <f>IF($B19="","",$D19/100*VLOOKUP(TRIM($B19),Base_bromato!$A:$AM,18,FALSE))</f>
        <v/>
      </c>
      <c r="AB18" t="str">
        <f>IF($B19="","",$D19/100*VLOOKUP(TRIM($B19),Base_bromato!$A:$AM,19,FALSE))</f>
        <v/>
      </c>
      <c r="AC18" t="str">
        <f>IF($B19="","",$D19/100*VLOOKUP(TRIM($B19),Base_bromato!$A:$AM,20,FALSE))</f>
        <v/>
      </c>
      <c r="AD18" t="str">
        <f>IF($B19="","",$D19/100*VLOOKUP(TRIM($B19),Base_bromato!$A:$AM,21,FALSE))</f>
        <v/>
      </c>
      <c r="AE18" t="str">
        <f>IF($B19="","",$D19/100*VLOOKUP(TRIM($B19),Base_bromato!$A:$AM,22,FALSE))</f>
        <v/>
      </c>
      <c r="AF18" t="str">
        <f>IF($B19="","",$D19/100*VLOOKUP(TRIM($B19),Base_bromato!$A:$AM,23,FALSE))</f>
        <v/>
      </c>
      <c r="AG18" t="str">
        <f>IF($B19="","",$D19/100*VLOOKUP(TRIM($B19),Base_bromato!$A:$AM,24,FALSE))</f>
        <v/>
      </c>
      <c r="AH18" t="str">
        <f>IF($B19="","",$D19/100*VLOOKUP(TRIM($B19),Base_bromato!$A:$AM,25,FALSE))</f>
        <v/>
      </c>
      <c r="AI18" t="str">
        <f>IF($B19="","",$D19/100*VLOOKUP(TRIM($B19),Base_bromato!$A:$AM,26,FALSE))</f>
        <v/>
      </c>
      <c r="AJ18" t="str">
        <f>IF($B19="","",$D19/100*VLOOKUP(TRIM($B19),Base_bromato!$A:$AM,27,FALSE))</f>
        <v/>
      </c>
      <c r="AK18" t="str">
        <f>IF($B19="","",$D19/100*VLOOKUP(TRIM($B19),Base_bromato!$A:$AM,28,FALSE))</f>
        <v/>
      </c>
      <c r="AL18" t="str">
        <f>IF($B19="","",$D19/100*VLOOKUP(TRIM($B19),Base_bromato!$A:$AM,29,FALSE))</f>
        <v/>
      </c>
      <c r="AM18" t="str">
        <f>IF($B19="","",$D19/100*VLOOKUP(TRIM($B19),Base_bromato!$A:$AM,30,FALSE))</f>
        <v/>
      </c>
      <c r="AN18" t="str">
        <f>IF($B19="","",$D19/100*VLOOKUP(TRIM($B19),Base_bromato!$A:$AM,31,FALSE))</f>
        <v/>
      </c>
      <c r="AO18" t="str">
        <f>IF($B19="","",$D19/100*VLOOKUP(TRIM($B19),Base_bromato!$A:$AM,32,FALSE))</f>
        <v/>
      </c>
      <c r="AP18" t="str">
        <f>IF($B19="","",$D19/100*VLOOKUP(TRIM($B19),Base_bromato!$A:$AM,33,FALSE))</f>
        <v/>
      </c>
      <c r="AQ18" t="str">
        <f>IF($B19="","",$D19/100*VLOOKUP(TRIM($B19),Base_bromato!$A:$AM,34,FALSE))</f>
        <v/>
      </c>
      <c r="AR18" t="str">
        <f>IF($B19="","",$D19/100*VLOOKUP(TRIM($B19),Base_bromato!$A:$AM,35,FALSE))</f>
        <v/>
      </c>
      <c r="AS18" t="str">
        <f>IF($B19="","",$D19/100*VLOOKUP(TRIM($B19),Base_bromato!$A:$AM,36,FALSE))</f>
        <v/>
      </c>
      <c r="AT18" t="str">
        <f>IF($B19="","",$D19/100*VLOOKUP(TRIM($B19),Base_bromato!$A:$AM,37,FALSE))</f>
        <v/>
      </c>
      <c r="AU18" t="str">
        <f>IF($B19="","",$D19/100*VLOOKUP(TRIM($B19),Base_bromato!$A:$AM,38,FALSE))</f>
        <v/>
      </c>
      <c r="AV18" t="str">
        <f>IF($B19="","",$D19/100*VLOOKUP(TRIM($B19),Base_bromato!$A:$AM,39,FALSE))</f>
        <v/>
      </c>
    </row>
    <row r="19" spans="2:48" ht="19.5" thickBot="1" x14ac:dyDescent="0.3">
      <c r="B19" s="41"/>
      <c r="C19" s="41"/>
      <c r="D19" s="11"/>
      <c r="E19" s="11"/>
      <c r="F19" s="11">
        <f t="shared" si="1"/>
        <v>0</v>
      </c>
      <c r="G19" s="42"/>
      <c r="H19" s="5" t="s">
        <v>43</v>
      </c>
      <c r="I19" s="15">
        <f>INDEX(Base_bromato!$C$68:$L$104,MATCH(Formular!H19,Base_bromato!$B$68:$B$104,0),MATCH(Formular!$E$3,Base_bromato!$C$67:$L$67,0))</f>
        <v>1.07</v>
      </c>
      <c r="J19" s="16" t="str">
        <f t="shared" ca="1" si="0"/>
        <v/>
      </c>
      <c r="K19" s="6"/>
      <c r="L19" t="str">
        <f>IF($B20="","",$D20/100*VLOOKUP(TRIM($B20),Base_bromato!$A:$AM,3,FALSE))</f>
        <v/>
      </c>
      <c r="M19" t="str">
        <f>IF($B20="","",$D20/100*VLOOKUP(TRIM($B20),Base_bromato!$A:$AM,4,FALSE))</f>
        <v/>
      </c>
      <c r="N19" t="str">
        <f>IF($B20="","",$D20/100*VLOOKUP(TRIM($B20),Base_bromato!$A:$AM,5,FALSE))</f>
        <v/>
      </c>
      <c r="O19" t="str">
        <f>IF($B20="","",$D20/100*VLOOKUP(TRIM($B20),Base_bromato!$A:$AM,6,FALSE))</f>
        <v/>
      </c>
      <c r="P19" t="str">
        <f>IF($B20="","",$D20/100*VLOOKUP(TRIM($B20),Base_bromato!$A:$AM,7,FALSE))</f>
        <v/>
      </c>
      <c r="Q19" t="str">
        <f>IF($B20="","",$D20/100*VLOOKUP(TRIM($B20),Base_bromato!$A:$AM,8,FALSE))</f>
        <v/>
      </c>
      <c r="R19" t="str">
        <f>IF($B20="","",$D20/100*VLOOKUP(TRIM($B20),Base_bromato!$A:$AM,9,FALSE))</f>
        <v/>
      </c>
      <c r="S19" t="str">
        <f>IF($B20="","",$D20/100*VLOOKUP(TRIM($B20),Base_bromato!$A:$AM,10,FALSE))</f>
        <v/>
      </c>
      <c r="T19" t="str">
        <f>IF($B20="","",$D20/100*VLOOKUP(TRIM($B20),Base_bromato!$A:$AM,11,FALSE))</f>
        <v/>
      </c>
      <c r="U19" t="str">
        <f>IF($B20="","",$D20/100*VLOOKUP(TRIM($B20),Base_bromato!$A:$AM,12,FALSE))</f>
        <v/>
      </c>
      <c r="V19" t="str">
        <f>IF($B20="","",$D20/100*VLOOKUP(TRIM($B20),Base_bromato!$A:$AM,13,FALSE))</f>
        <v/>
      </c>
      <c r="W19" t="str">
        <f>IF($B20="","",$D20/100*VLOOKUP(TRIM($B20),Base_bromato!$A:$AM,14,FALSE))</f>
        <v/>
      </c>
      <c r="X19" t="str">
        <f>IF($B20="","",$D20/100*VLOOKUP(TRIM($B20),Base_bromato!$A:$AM,15,FALSE))</f>
        <v/>
      </c>
      <c r="Y19" t="str">
        <f>IF($B20="","",$D20/100*VLOOKUP(TRIM($B20),Base_bromato!$A:$AM,16,FALSE))</f>
        <v/>
      </c>
      <c r="Z19" t="str">
        <f>IF($B20="","",$D20/100*VLOOKUP(TRIM($B20),Base_bromato!$A:$AM,17,FALSE))</f>
        <v/>
      </c>
      <c r="AA19" t="str">
        <f>IF($B20="","",$D20/100*VLOOKUP(TRIM($B20),Base_bromato!$A:$AM,18,FALSE))</f>
        <v/>
      </c>
      <c r="AB19" t="str">
        <f>IF($B20="","",$D20/100*VLOOKUP(TRIM($B20),Base_bromato!$A:$AM,19,FALSE))</f>
        <v/>
      </c>
      <c r="AC19" t="str">
        <f>IF($B20="","",$D20/100*VLOOKUP(TRIM($B20),Base_bromato!$A:$AM,20,FALSE))</f>
        <v/>
      </c>
      <c r="AD19" t="str">
        <f>IF($B20="","",$D20/100*VLOOKUP(TRIM($B20),Base_bromato!$A:$AM,21,FALSE))</f>
        <v/>
      </c>
      <c r="AE19" t="str">
        <f>IF($B20="","",$D20/100*VLOOKUP(TRIM($B20),Base_bromato!$A:$AM,22,FALSE))</f>
        <v/>
      </c>
      <c r="AF19" t="str">
        <f>IF($B20="","",$D20/100*VLOOKUP(TRIM($B20),Base_bromato!$A:$AM,23,FALSE))</f>
        <v/>
      </c>
      <c r="AG19" t="str">
        <f>IF($B20="","",$D20/100*VLOOKUP(TRIM($B20),Base_bromato!$A:$AM,24,FALSE))</f>
        <v/>
      </c>
      <c r="AH19" t="str">
        <f>IF($B20="","",$D20/100*VLOOKUP(TRIM($B20),Base_bromato!$A:$AM,25,FALSE))</f>
        <v/>
      </c>
      <c r="AI19" t="str">
        <f>IF($B20="","",$D20/100*VLOOKUP(TRIM($B20),Base_bromato!$A:$AM,26,FALSE))</f>
        <v/>
      </c>
      <c r="AJ19" t="str">
        <f>IF($B20="","",$D20/100*VLOOKUP(TRIM($B20),Base_bromato!$A:$AM,27,FALSE))</f>
        <v/>
      </c>
      <c r="AK19" t="str">
        <f>IF($B20="","",$D20/100*VLOOKUP(TRIM($B20),Base_bromato!$A:$AM,28,FALSE))</f>
        <v/>
      </c>
      <c r="AL19" t="str">
        <f>IF($B20="","",$D20/100*VLOOKUP(TRIM($B20),Base_bromato!$A:$AM,29,FALSE))</f>
        <v/>
      </c>
      <c r="AM19" t="str">
        <f>IF($B20="","",$D20/100*VLOOKUP(TRIM($B20),Base_bromato!$A:$AM,30,FALSE))</f>
        <v/>
      </c>
      <c r="AN19" t="str">
        <f>IF($B20="","",$D20/100*VLOOKUP(TRIM($B20),Base_bromato!$A:$AM,31,FALSE))</f>
        <v/>
      </c>
      <c r="AO19" t="str">
        <f>IF($B20="","",$D20/100*VLOOKUP(TRIM($B20),Base_bromato!$A:$AM,32,FALSE))</f>
        <v/>
      </c>
      <c r="AP19" t="str">
        <f>IF($B20="","",$D20/100*VLOOKUP(TRIM($B20),Base_bromato!$A:$AM,33,FALSE))</f>
        <v/>
      </c>
      <c r="AQ19" t="str">
        <f>IF($B20="","",$D20/100*VLOOKUP(TRIM($B20),Base_bromato!$A:$AM,34,FALSE))</f>
        <v/>
      </c>
      <c r="AR19" t="str">
        <f>IF($B20="","",$D20/100*VLOOKUP(TRIM($B20),Base_bromato!$A:$AM,35,FALSE))</f>
        <v/>
      </c>
      <c r="AS19" t="str">
        <f>IF($B20="","",$D20/100*VLOOKUP(TRIM($B20),Base_bromato!$A:$AM,36,FALSE))</f>
        <v/>
      </c>
      <c r="AT19" t="str">
        <f>IF($B20="","",$D20/100*VLOOKUP(TRIM($B20),Base_bromato!$A:$AM,37,FALSE))</f>
        <v/>
      </c>
      <c r="AU19" t="str">
        <f>IF($B20="","",$D20/100*VLOOKUP(TRIM($B20),Base_bromato!$A:$AM,38,FALSE))</f>
        <v/>
      </c>
      <c r="AV19" t="str">
        <f>IF($B20="","",$D20/100*VLOOKUP(TRIM($B20),Base_bromato!$A:$AM,39,FALSE))</f>
        <v/>
      </c>
    </row>
    <row r="20" spans="2:48" ht="19.5" thickBot="1" x14ac:dyDescent="0.3">
      <c r="B20" s="41"/>
      <c r="C20" s="41"/>
      <c r="D20" s="11"/>
      <c r="E20" s="11"/>
      <c r="F20" s="11">
        <f t="shared" si="1"/>
        <v>0</v>
      </c>
      <c r="G20" s="42"/>
      <c r="H20" s="5" t="s">
        <v>13</v>
      </c>
      <c r="I20" s="15">
        <f>INDEX(Base_bromato!$C$68:$L$104,MATCH(Formular!H20,Base_bromato!$B$68:$B$104,0),MATCH(Formular!$E$3,Base_bromato!$C$67:$L$67,0))</f>
        <v>0.6</v>
      </c>
      <c r="J20" s="16" t="str">
        <f t="shared" ca="1" si="0"/>
        <v/>
      </c>
      <c r="K20" s="6"/>
      <c r="L20" t="str">
        <f>IF($B21="","",$D21/100*VLOOKUP(TRIM($B21),Base_bromato!$A:$AM,3,FALSE))</f>
        <v/>
      </c>
      <c r="M20" t="str">
        <f>IF($B21="","",$D21/100*VLOOKUP(TRIM($B21),Base_bromato!$A:$AM,4,FALSE))</f>
        <v/>
      </c>
      <c r="N20" t="str">
        <f>IF($B21="","",$D21/100*VLOOKUP(TRIM($B21),Base_bromato!$A:$AM,5,FALSE))</f>
        <v/>
      </c>
      <c r="O20" t="str">
        <f>IF($B21="","",$D21/100*VLOOKUP(TRIM($B21),Base_bromato!$A:$AM,6,FALSE))</f>
        <v/>
      </c>
      <c r="P20" t="str">
        <f>IF($B21="","",$D21/100*VLOOKUP(TRIM($B21),Base_bromato!$A:$AM,7,FALSE))</f>
        <v/>
      </c>
      <c r="Q20" t="str">
        <f>IF($B21="","",$D21/100*VLOOKUP(TRIM($B21),Base_bromato!$A:$AM,8,FALSE))</f>
        <v/>
      </c>
      <c r="R20" t="str">
        <f>IF($B21="","",$D21/100*VLOOKUP(TRIM($B21),Base_bromato!$A:$AM,9,FALSE))</f>
        <v/>
      </c>
      <c r="S20" t="str">
        <f>IF($B21="","",$D21/100*VLOOKUP(TRIM($B21),Base_bromato!$A:$AM,10,FALSE))</f>
        <v/>
      </c>
      <c r="T20" t="str">
        <f>IF($B21="","",$D21/100*VLOOKUP(TRIM($B21),Base_bromato!$A:$AM,11,FALSE))</f>
        <v/>
      </c>
      <c r="U20" t="str">
        <f>IF($B21="","",$D21/100*VLOOKUP(TRIM($B21),Base_bromato!$A:$AM,12,FALSE))</f>
        <v/>
      </c>
      <c r="V20" t="str">
        <f>IF($B21="","",$D21/100*VLOOKUP(TRIM($B21),Base_bromato!$A:$AM,13,FALSE))</f>
        <v/>
      </c>
      <c r="W20" t="str">
        <f>IF($B21="","",$D21/100*VLOOKUP(TRIM($B21),Base_bromato!$A:$AM,14,FALSE))</f>
        <v/>
      </c>
      <c r="X20" t="str">
        <f>IF($B21="","",$D21/100*VLOOKUP(TRIM($B21),Base_bromato!$A:$AM,15,FALSE))</f>
        <v/>
      </c>
      <c r="Y20" t="str">
        <f>IF($B21="","",$D21/100*VLOOKUP(TRIM($B21),Base_bromato!$A:$AM,16,FALSE))</f>
        <v/>
      </c>
      <c r="Z20" t="str">
        <f>IF($B21="","",$D21/100*VLOOKUP(TRIM($B21),Base_bromato!$A:$AM,17,FALSE))</f>
        <v/>
      </c>
      <c r="AA20" t="str">
        <f>IF($B21="","",$D21/100*VLOOKUP(TRIM($B21),Base_bromato!$A:$AM,18,FALSE))</f>
        <v/>
      </c>
      <c r="AB20" t="str">
        <f>IF($B21="","",$D21/100*VLOOKUP(TRIM($B21),Base_bromato!$A:$AM,19,FALSE))</f>
        <v/>
      </c>
      <c r="AC20" t="str">
        <f>IF($B21="","",$D21/100*VLOOKUP(TRIM($B21),Base_bromato!$A:$AM,20,FALSE))</f>
        <v/>
      </c>
      <c r="AD20" t="str">
        <f>IF($B21="","",$D21/100*VLOOKUP(TRIM($B21),Base_bromato!$A:$AM,21,FALSE))</f>
        <v/>
      </c>
      <c r="AE20" t="str">
        <f>IF($B21="","",$D21/100*VLOOKUP(TRIM($B21),Base_bromato!$A:$AM,22,FALSE))</f>
        <v/>
      </c>
      <c r="AF20" t="str">
        <f>IF($B21="","",$D21/100*VLOOKUP(TRIM($B21),Base_bromato!$A:$AM,23,FALSE))</f>
        <v/>
      </c>
      <c r="AG20" t="str">
        <f>IF($B21="","",$D21/100*VLOOKUP(TRIM($B21),Base_bromato!$A:$AM,24,FALSE))</f>
        <v/>
      </c>
      <c r="AH20" t="str">
        <f>IF($B21="","",$D21/100*VLOOKUP(TRIM($B21),Base_bromato!$A:$AM,25,FALSE))</f>
        <v/>
      </c>
      <c r="AI20" t="str">
        <f>IF($B21="","",$D21/100*VLOOKUP(TRIM($B21),Base_bromato!$A:$AM,26,FALSE))</f>
        <v/>
      </c>
      <c r="AJ20" t="str">
        <f>IF($B21="","",$D21/100*VLOOKUP(TRIM($B21),Base_bromato!$A:$AM,27,FALSE))</f>
        <v/>
      </c>
      <c r="AK20" t="str">
        <f>IF($B21="","",$D21/100*VLOOKUP(TRIM($B21),Base_bromato!$A:$AM,28,FALSE))</f>
        <v/>
      </c>
      <c r="AL20" t="str">
        <f>IF($B21="","",$D21/100*VLOOKUP(TRIM($B21),Base_bromato!$A:$AM,29,FALSE))</f>
        <v/>
      </c>
      <c r="AM20" t="str">
        <f>IF($B21="","",$D21/100*VLOOKUP(TRIM($B21),Base_bromato!$A:$AM,30,FALSE))</f>
        <v/>
      </c>
      <c r="AN20" t="str">
        <f>IF($B21="","",$D21/100*VLOOKUP(TRIM($B21),Base_bromato!$A:$AM,31,FALSE))</f>
        <v/>
      </c>
      <c r="AO20" t="str">
        <f>IF($B21="","",$D21/100*VLOOKUP(TRIM($B21),Base_bromato!$A:$AM,32,FALSE))</f>
        <v/>
      </c>
      <c r="AP20" t="str">
        <f>IF($B21="","",$D21/100*VLOOKUP(TRIM($B21),Base_bromato!$A:$AM,33,FALSE))</f>
        <v/>
      </c>
      <c r="AQ20" t="str">
        <f>IF($B21="","",$D21/100*VLOOKUP(TRIM($B21),Base_bromato!$A:$AM,34,FALSE))</f>
        <v/>
      </c>
      <c r="AR20" t="str">
        <f>IF($B21="","",$D21/100*VLOOKUP(TRIM($B21),Base_bromato!$A:$AM,35,FALSE))</f>
        <v/>
      </c>
      <c r="AS20" t="str">
        <f>IF($B21="","",$D21/100*VLOOKUP(TRIM($B21),Base_bromato!$A:$AM,36,FALSE))</f>
        <v/>
      </c>
      <c r="AT20" t="str">
        <f>IF($B21="","",$D21/100*VLOOKUP(TRIM($B21),Base_bromato!$A:$AM,37,FALSE))</f>
        <v/>
      </c>
      <c r="AU20" t="str">
        <f>IF($B21="","",$D21/100*VLOOKUP(TRIM($B21),Base_bromato!$A:$AM,38,FALSE))</f>
        <v/>
      </c>
      <c r="AV20" t="str">
        <f>IF($B21="","",$D21/100*VLOOKUP(TRIM($B21),Base_bromato!$A:$AM,39,FALSE))</f>
        <v/>
      </c>
    </row>
    <row r="21" spans="2:48" ht="19.5" thickBot="1" x14ac:dyDescent="0.3">
      <c r="B21" s="41"/>
      <c r="C21" s="41"/>
      <c r="D21" s="11"/>
      <c r="E21" s="11"/>
      <c r="F21" s="11">
        <f t="shared" si="1"/>
        <v>0</v>
      </c>
      <c r="G21" s="42"/>
      <c r="H21" s="5" t="s">
        <v>44</v>
      </c>
      <c r="I21" s="15" t="str">
        <f>INDEX(Base_bromato!$C$68:$L$104,MATCH(Formular!H21,Base_bromato!$B$68:$B$104,0),MATCH(Formular!$E$3,Base_bromato!$C$67:$L$67,0))</f>
        <v>0,5-0,6</v>
      </c>
      <c r="J21" s="16" t="str">
        <f t="shared" ca="1" si="0"/>
        <v/>
      </c>
      <c r="K21" s="6"/>
      <c r="L21" t="str">
        <f>IF($B22="","",$D22/100*VLOOKUP(TRIM($B22),Base_bromato!$A:$AM,3,FALSE))</f>
        <v/>
      </c>
      <c r="M21" t="str">
        <f>IF($B22="","",$D22/100*VLOOKUP(TRIM($B22),Base_bromato!$A:$AM,4,FALSE))</f>
        <v/>
      </c>
      <c r="N21" t="str">
        <f>IF($B22="","",$D22/100*VLOOKUP(TRIM($B22),Base_bromato!$A:$AM,5,FALSE))</f>
        <v/>
      </c>
      <c r="O21" t="str">
        <f>IF($B22="","",$D22/100*VLOOKUP(TRIM($B22),Base_bromato!$A:$AM,6,FALSE))</f>
        <v/>
      </c>
      <c r="P21" t="str">
        <f>IF($B22="","",$D22/100*VLOOKUP(TRIM($B22),Base_bromato!$A:$AM,7,FALSE))</f>
        <v/>
      </c>
      <c r="Q21" t="str">
        <f>IF($B22="","",$D22/100*VLOOKUP(TRIM($B22),Base_bromato!$A:$AM,8,FALSE))</f>
        <v/>
      </c>
      <c r="R21" t="str">
        <f>IF($B22="","",$D22/100*VLOOKUP(TRIM($B22),Base_bromato!$A:$AM,9,FALSE))</f>
        <v/>
      </c>
      <c r="S21" t="str">
        <f>IF($B22="","",$D22/100*VLOOKUP(TRIM($B22),Base_bromato!$A:$AM,10,FALSE))</f>
        <v/>
      </c>
      <c r="T21" t="str">
        <f>IF($B22="","",$D22/100*VLOOKUP(TRIM($B22),Base_bromato!$A:$AM,11,FALSE))</f>
        <v/>
      </c>
      <c r="U21" t="str">
        <f>IF($B22="","",$D22/100*VLOOKUP(TRIM($B22),Base_bromato!$A:$AM,12,FALSE))</f>
        <v/>
      </c>
      <c r="V21" t="str">
        <f>IF($B22="","",$D22/100*VLOOKUP(TRIM($B22),Base_bromato!$A:$AM,13,FALSE))</f>
        <v/>
      </c>
      <c r="W21" t="str">
        <f>IF($B22="","",$D22/100*VLOOKUP(TRIM($B22),Base_bromato!$A:$AM,14,FALSE))</f>
        <v/>
      </c>
      <c r="X21" t="str">
        <f>IF($B22="","",$D22/100*VLOOKUP(TRIM($B22),Base_bromato!$A:$AM,15,FALSE))</f>
        <v/>
      </c>
      <c r="Y21" t="str">
        <f>IF($B22="","",$D22/100*VLOOKUP(TRIM($B22),Base_bromato!$A:$AM,16,FALSE))</f>
        <v/>
      </c>
      <c r="Z21" t="str">
        <f>IF($B22="","",$D22/100*VLOOKUP(TRIM($B22),Base_bromato!$A:$AM,17,FALSE))</f>
        <v/>
      </c>
      <c r="AA21" t="str">
        <f>IF($B22="","",$D22/100*VLOOKUP(TRIM($B22),Base_bromato!$A:$AM,18,FALSE))</f>
        <v/>
      </c>
      <c r="AB21" t="str">
        <f>IF($B22="","",$D22/100*VLOOKUP(TRIM($B22),Base_bromato!$A:$AM,19,FALSE))</f>
        <v/>
      </c>
      <c r="AC21" t="str">
        <f>IF($B22="","",$D22/100*VLOOKUP(TRIM($B22),Base_bromato!$A:$AM,20,FALSE))</f>
        <v/>
      </c>
      <c r="AD21" t="str">
        <f>IF($B22="","",$D22/100*VLOOKUP(TRIM($B22),Base_bromato!$A:$AM,21,FALSE))</f>
        <v/>
      </c>
      <c r="AE21" t="str">
        <f>IF($B22="","",$D22/100*VLOOKUP(TRIM($B22),Base_bromato!$A:$AM,22,FALSE))</f>
        <v/>
      </c>
      <c r="AF21" t="str">
        <f>IF($B22="","",$D22/100*VLOOKUP(TRIM($B22),Base_bromato!$A:$AM,23,FALSE))</f>
        <v/>
      </c>
      <c r="AG21" t="str">
        <f>IF($B22="","",$D22/100*VLOOKUP(TRIM($B22),Base_bromato!$A:$AM,24,FALSE))</f>
        <v/>
      </c>
      <c r="AH21" t="str">
        <f>IF($B22="","",$D22/100*VLOOKUP(TRIM($B22),Base_bromato!$A:$AM,25,FALSE))</f>
        <v/>
      </c>
      <c r="AI21" t="str">
        <f>IF($B22="","",$D22/100*VLOOKUP(TRIM($B22),Base_bromato!$A:$AM,26,FALSE))</f>
        <v/>
      </c>
      <c r="AJ21" t="str">
        <f>IF($B22="","",$D22/100*VLOOKUP(TRIM($B22),Base_bromato!$A:$AM,27,FALSE))</f>
        <v/>
      </c>
      <c r="AK21" t="str">
        <f>IF($B22="","",$D22/100*VLOOKUP(TRIM($B22),Base_bromato!$A:$AM,28,FALSE))</f>
        <v/>
      </c>
      <c r="AL21" t="str">
        <f>IF($B22="","",$D22/100*VLOOKUP(TRIM($B22),Base_bromato!$A:$AM,29,FALSE))</f>
        <v/>
      </c>
      <c r="AM21" t="str">
        <f>IF($B22="","",$D22/100*VLOOKUP(TRIM($B22),Base_bromato!$A:$AM,30,FALSE))</f>
        <v/>
      </c>
      <c r="AN21" t="str">
        <f>IF($B22="","",$D22/100*VLOOKUP(TRIM($B22),Base_bromato!$A:$AM,31,FALSE))</f>
        <v/>
      </c>
      <c r="AO21" t="str">
        <f>IF($B22="","",$D22/100*VLOOKUP(TRIM($B22),Base_bromato!$A:$AM,32,FALSE))</f>
        <v/>
      </c>
      <c r="AP21" t="str">
        <f>IF($B22="","",$D22/100*VLOOKUP(TRIM($B22),Base_bromato!$A:$AM,33,FALSE))</f>
        <v/>
      </c>
      <c r="AQ21" t="str">
        <f>IF($B22="","",$D22/100*VLOOKUP(TRIM($B22),Base_bromato!$A:$AM,34,FALSE))</f>
        <v/>
      </c>
      <c r="AR21" t="str">
        <f>IF($B22="","",$D22/100*VLOOKUP(TRIM($B22),Base_bromato!$A:$AM,35,FALSE))</f>
        <v/>
      </c>
      <c r="AS21" t="str">
        <f>IF($B22="","",$D22/100*VLOOKUP(TRIM($B22),Base_bromato!$A:$AM,36,FALSE))</f>
        <v/>
      </c>
      <c r="AT21" t="str">
        <f>IF($B22="","",$D22/100*VLOOKUP(TRIM($B22),Base_bromato!$A:$AM,37,FALSE))</f>
        <v/>
      </c>
      <c r="AU21" t="str">
        <f>IF($B22="","",$D22/100*VLOOKUP(TRIM($B22),Base_bromato!$A:$AM,38,FALSE))</f>
        <v/>
      </c>
      <c r="AV21" t="str">
        <f>IF($B22="","",$D22/100*VLOOKUP(TRIM($B22),Base_bromato!$A:$AM,39,FALSE))</f>
        <v/>
      </c>
    </row>
    <row r="22" spans="2:48" ht="19.5" thickBot="1" x14ac:dyDescent="0.3">
      <c r="B22" s="41"/>
      <c r="C22" s="41"/>
      <c r="D22" s="11"/>
      <c r="E22" s="11"/>
      <c r="F22" s="11">
        <f t="shared" si="1"/>
        <v>0</v>
      </c>
      <c r="G22" s="42"/>
      <c r="H22" s="5" t="s">
        <v>14</v>
      </c>
      <c r="I22" s="15">
        <f>INDEX(Base_bromato!$C$68:$L$104,MATCH(Formular!H22,Base_bromato!$B$68:$B$104,0),MATCH(Formular!$E$3,Base_bromato!$C$67:$L$67,0))</f>
        <v>1</v>
      </c>
      <c r="J22" s="16" t="str">
        <f t="shared" ca="1" si="0"/>
        <v/>
      </c>
      <c r="K22" s="6"/>
      <c r="L22" t="str">
        <f>IF($B23="","",$D23/100*VLOOKUP(TRIM($B23),Base_bromato!$A:$AM,3,FALSE))</f>
        <v/>
      </c>
      <c r="M22" t="str">
        <f>IF($B23="","",$D23/100*VLOOKUP(TRIM($B23),Base_bromato!$A:$AM,4,FALSE))</f>
        <v/>
      </c>
      <c r="N22" t="str">
        <f>IF($B23="","",$D23/100*VLOOKUP(TRIM($B23),Base_bromato!$A:$AM,5,FALSE))</f>
        <v/>
      </c>
      <c r="O22" t="str">
        <f>IF($B23="","",$D23/100*VLOOKUP(TRIM($B23),Base_bromato!$A:$AM,6,FALSE))</f>
        <v/>
      </c>
      <c r="P22" t="str">
        <f>IF($B23="","",$D23/100*VLOOKUP(TRIM($B23),Base_bromato!$A:$AM,7,FALSE))</f>
        <v/>
      </c>
      <c r="Q22" t="str">
        <f>IF($B23="","",$D23/100*VLOOKUP(TRIM($B23),Base_bromato!$A:$AM,8,FALSE))</f>
        <v/>
      </c>
      <c r="R22" t="str">
        <f>IF($B23="","",$D23/100*VLOOKUP(TRIM($B23),Base_bromato!$A:$AM,9,FALSE))</f>
        <v/>
      </c>
      <c r="S22" t="str">
        <f>IF($B23="","",$D23/100*VLOOKUP(TRIM($B23),Base_bromato!$A:$AM,10,FALSE))</f>
        <v/>
      </c>
      <c r="T22" t="str">
        <f>IF($B23="","",$D23/100*VLOOKUP(TRIM($B23),Base_bromato!$A:$AM,11,FALSE))</f>
        <v/>
      </c>
      <c r="U22" t="str">
        <f>IF($B23="","",$D23/100*VLOOKUP(TRIM($B23),Base_bromato!$A:$AM,12,FALSE))</f>
        <v/>
      </c>
      <c r="V22" t="str">
        <f>IF($B23="","",$D23/100*VLOOKUP(TRIM($B23),Base_bromato!$A:$AM,13,FALSE))</f>
        <v/>
      </c>
      <c r="W22" t="str">
        <f>IF($B23="","",$D23/100*VLOOKUP(TRIM($B23),Base_bromato!$A:$AM,14,FALSE))</f>
        <v/>
      </c>
      <c r="X22" t="str">
        <f>IF($B23="","",$D23/100*VLOOKUP(TRIM($B23),Base_bromato!$A:$AM,15,FALSE))</f>
        <v/>
      </c>
      <c r="Y22" t="str">
        <f>IF($B23="","",$D23/100*VLOOKUP(TRIM($B23),Base_bromato!$A:$AM,16,FALSE))</f>
        <v/>
      </c>
      <c r="Z22" t="str">
        <f>IF($B23="","",$D23/100*VLOOKUP(TRIM($B23),Base_bromato!$A:$AM,17,FALSE))</f>
        <v/>
      </c>
      <c r="AA22" t="str">
        <f>IF($B23="","",$D23/100*VLOOKUP(TRIM($B23),Base_bromato!$A:$AM,18,FALSE))</f>
        <v/>
      </c>
      <c r="AB22" t="str">
        <f>IF($B23="","",$D23/100*VLOOKUP(TRIM($B23),Base_bromato!$A:$AM,19,FALSE))</f>
        <v/>
      </c>
      <c r="AC22" t="str">
        <f>IF($B23="","",$D23/100*VLOOKUP(TRIM($B23),Base_bromato!$A:$AM,20,FALSE))</f>
        <v/>
      </c>
      <c r="AD22" t="str">
        <f>IF($B23="","",$D23/100*VLOOKUP(TRIM($B23),Base_bromato!$A:$AM,21,FALSE))</f>
        <v/>
      </c>
      <c r="AE22" t="str">
        <f>IF($B23="","",$D23/100*VLOOKUP(TRIM($B23),Base_bromato!$A:$AM,22,FALSE))</f>
        <v/>
      </c>
      <c r="AF22" t="str">
        <f>IF($B23="","",$D23/100*VLOOKUP(TRIM($B23),Base_bromato!$A:$AM,23,FALSE))</f>
        <v/>
      </c>
      <c r="AG22" t="str">
        <f>IF($B23="","",$D23/100*VLOOKUP(TRIM($B23),Base_bromato!$A:$AM,24,FALSE))</f>
        <v/>
      </c>
      <c r="AH22" t="str">
        <f>IF($B23="","",$D23/100*VLOOKUP(TRIM($B23),Base_bromato!$A:$AM,25,FALSE))</f>
        <v/>
      </c>
      <c r="AI22" t="str">
        <f>IF($B23="","",$D23/100*VLOOKUP(TRIM($B23),Base_bromato!$A:$AM,26,FALSE))</f>
        <v/>
      </c>
      <c r="AJ22" t="str">
        <f>IF($B23="","",$D23/100*VLOOKUP(TRIM($B23),Base_bromato!$A:$AM,27,FALSE))</f>
        <v/>
      </c>
      <c r="AK22" t="str">
        <f>IF($B23="","",$D23/100*VLOOKUP(TRIM($B23),Base_bromato!$A:$AM,28,FALSE))</f>
        <v/>
      </c>
      <c r="AL22" t="str">
        <f>IF($B23="","",$D23/100*VLOOKUP(TRIM($B23),Base_bromato!$A:$AM,29,FALSE))</f>
        <v/>
      </c>
      <c r="AM22" t="str">
        <f>IF($B23="","",$D23/100*VLOOKUP(TRIM($B23),Base_bromato!$A:$AM,30,FALSE))</f>
        <v/>
      </c>
      <c r="AN22" t="str">
        <f>IF($B23="","",$D23/100*VLOOKUP(TRIM($B23),Base_bromato!$A:$AM,31,FALSE))</f>
        <v/>
      </c>
      <c r="AO22" t="str">
        <f>IF($B23="","",$D23/100*VLOOKUP(TRIM($B23),Base_bromato!$A:$AM,32,FALSE))</f>
        <v/>
      </c>
      <c r="AP22" t="str">
        <f>IF($B23="","",$D23/100*VLOOKUP(TRIM($B23),Base_bromato!$A:$AM,33,FALSE))</f>
        <v/>
      </c>
      <c r="AQ22" t="str">
        <f>IF($B23="","",$D23/100*VLOOKUP(TRIM($B23),Base_bromato!$A:$AM,34,FALSE))</f>
        <v/>
      </c>
      <c r="AR22" t="str">
        <f>IF($B23="","",$D23/100*VLOOKUP(TRIM($B23),Base_bromato!$A:$AM,35,FALSE))</f>
        <v/>
      </c>
      <c r="AS22" t="str">
        <f>IF($B23="","",$D23/100*VLOOKUP(TRIM($B23),Base_bromato!$A:$AM,36,FALSE))</f>
        <v/>
      </c>
      <c r="AT22" t="str">
        <f>IF($B23="","",$D23/100*VLOOKUP(TRIM($B23),Base_bromato!$A:$AM,37,FALSE))</f>
        <v/>
      </c>
      <c r="AU22" t="str">
        <f>IF($B23="","",$D23/100*VLOOKUP(TRIM($B23),Base_bromato!$A:$AM,38,FALSE))</f>
        <v/>
      </c>
      <c r="AV22" t="str">
        <f>IF($B23="","",$D23/100*VLOOKUP(TRIM($B23),Base_bromato!$A:$AM,39,FALSE))</f>
        <v/>
      </c>
    </row>
    <row r="23" spans="2:48" ht="19.5" thickBot="1" x14ac:dyDescent="0.3">
      <c r="B23" s="41"/>
      <c r="C23" s="41"/>
      <c r="D23" s="11"/>
      <c r="E23" s="11"/>
      <c r="F23" s="11">
        <f t="shared" si="1"/>
        <v>0</v>
      </c>
      <c r="G23" s="42"/>
      <c r="H23" s="5" t="s">
        <v>32</v>
      </c>
      <c r="I23" s="15">
        <f>INDEX(Base_bromato!$C$68:$L$104,MATCH(Formular!H23,Base_bromato!$B$68:$B$104,0),MATCH(Formular!$E$3,Base_bromato!$C$67:$L$67,0))</f>
        <v>9000</v>
      </c>
      <c r="J23" s="16" t="str">
        <f t="shared" ca="1" si="0"/>
        <v/>
      </c>
      <c r="K23" s="6"/>
      <c r="L23" t="str">
        <f>IF($B24="","",$D24/100*VLOOKUP(TRIM($B24),Base_bromato!$A:$AM,3,FALSE))</f>
        <v/>
      </c>
      <c r="M23" t="str">
        <f>IF($B24="","",$D24/100*VLOOKUP(TRIM($B24),Base_bromato!$A:$AM,4,FALSE))</f>
        <v/>
      </c>
      <c r="N23" t="str">
        <f>IF($B24="","",$D24/100*VLOOKUP(TRIM($B24),Base_bromato!$A:$AM,5,FALSE))</f>
        <v/>
      </c>
      <c r="O23" t="str">
        <f>IF($B24="","",$D24/100*VLOOKUP(TRIM($B24),Base_bromato!$A:$AM,6,FALSE))</f>
        <v/>
      </c>
      <c r="P23" t="str">
        <f>IF($B24="","",$D24/100*VLOOKUP(TRIM($B24),Base_bromato!$A:$AM,7,FALSE))</f>
        <v/>
      </c>
      <c r="Q23" t="str">
        <f>IF($B24="","",$D24/100*VLOOKUP(TRIM($B24),Base_bromato!$A:$AM,8,FALSE))</f>
        <v/>
      </c>
      <c r="R23" t="str">
        <f>IF($B24="","",$D24/100*VLOOKUP(TRIM($B24),Base_bromato!$A:$AM,9,FALSE))</f>
        <v/>
      </c>
      <c r="S23" t="str">
        <f>IF($B24="","",$D24/100*VLOOKUP(TRIM($B24),Base_bromato!$A:$AM,10,FALSE))</f>
        <v/>
      </c>
      <c r="T23" t="str">
        <f>IF($B24="","",$D24/100*VLOOKUP(TRIM($B24),Base_bromato!$A:$AM,11,FALSE))</f>
        <v/>
      </c>
      <c r="U23" t="str">
        <f>IF($B24="","",$D24/100*VLOOKUP(TRIM($B24),Base_bromato!$A:$AM,12,FALSE))</f>
        <v/>
      </c>
      <c r="V23" t="str">
        <f>IF($B24="","",$D24/100*VLOOKUP(TRIM($B24),Base_bromato!$A:$AM,13,FALSE))</f>
        <v/>
      </c>
      <c r="W23" t="str">
        <f>IF($B24="","",$D24/100*VLOOKUP(TRIM($B24),Base_bromato!$A:$AM,14,FALSE))</f>
        <v/>
      </c>
      <c r="X23" t="str">
        <f>IF($B24="","",$D24/100*VLOOKUP(TRIM($B24),Base_bromato!$A:$AM,15,FALSE))</f>
        <v/>
      </c>
      <c r="Y23" t="str">
        <f>IF($B24="","",$D24/100*VLOOKUP(TRIM($B24),Base_bromato!$A:$AM,16,FALSE))</f>
        <v/>
      </c>
      <c r="Z23" t="str">
        <f>IF($B24="","",$D24/100*VLOOKUP(TRIM($B24),Base_bromato!$A:$AM,17,FALSE))</f>
        <v/>
      </c>
      <c r="AA23" t="str">
        <f>IF($B24="","",$D24/100*VLOOKUP(TRIM($B24),Base_bromato!$A:$AM,18,FALSE))</f>
        <v/>
      </c>
      <c r="AB23" t="str">
        <f>IF($B24="","",$D24/100*VLOOKUP(TRIM($B24),Base_bromato!$A:$AM,19,FALSE))</f>
        <v/>
      </c>
      <c r="AC23" t="str">
        <f>IF($B24="","",$D24/100*VLOOKUP(TRIM($B24),Base_bromato!$A:$AM,20,FALSE))</f>
        <v/>
      </c>
      <c r="AD23" t="str">
        <f>IF($B24="","",$D24/100*VLOOKUP(TRIM($B24),Base_bromato!$A:$AM,21,FALSE))</f>
        <v/>
      </c>
      <c r="AE23" t="str">
        <f>IF($B24="","",$D24/100*VLOOKUP(TRIM($B24),Base_bromato!$A:$AM,22,FALSE))</f>
        <v/>
      </c>
      <c r="AF23" t="str">
        <f>IF($B24="","",$D24/100*VLOOKUP(TRIM($B24),Base_bromato!$A:$AM,23,FALSE))</f>
        <v/>
      </c>
      <c r="AG23" t="str">
        <f>IF($B24="","",$D24/100*VLOOKUP(TRIM($B24),Base_bromato!$A:$AM,24,FALSE))</f>
        <v/>
      </c>
      <c r="AH23" t="str">
        <f>IF($B24="","",$D24/100*VLOOKUP(TRIM($B24),Base_bromato!$A:$AM,25,FALSE))</f>
        <v/>
      </c>
      <c r="AI23" t="str">
        <f>IF($B24="","",$D24/100*VLOOKUP(TRIM($B24),Base_bromato!$A:$AM,26,FALSE))</f>
        <v/>
      </c>
      <c r="AJ23" t="str">
        <f>IF($B24="","",$D24/100*VLOOKUP(TRIM($B24),Base_bromato!$A:$AM,27,FALSE))</f>
        <v/>
      </c>
      <c r="AK23" t="str">
        <f>IF($B24="","",$D24/100*VLOOKUP(TRIM($B24),Base_bromato!$A:$AM,28,FALSE))</f>
        <v/>
      </c>
      <c r="AL23" t="str">
        <f>IF($B24="","",$D24/100*VLOOKUP(TRIM($B24),Base_bromato!$A:$AM,29,FALSE))</f>
        <v/>
      </c>
      <c r="AM23" t="str">
        <f>IF($B24="","",$D24/100*VLOOKUP(TRIM($B24),Base_bromato!$A:$AM,30,FALSE))</f>
        <v/>
      </c>
      <c r="AN23" t="str">
        <f>IF($B24="","",$D24/100*VLOOKUP(TRIM($B24),Base_bromato!$A:$AM,31,FALSE))</f>
        <v/>
      </c>
      <c r="AO23" t="str">
        <f>IF($B24="","",$D24/100*VLOOKUP(TRIM($B24),Base_bromato!$A:$AM,32,FALSE))</f>
        <v/>
      </c>
      <c r="AP23" t="str">
        <f>IF($B24="","",$D24/100*VLOOKUP(TRIM($B24),Base_bromato!$A:$AM,33,FALSE))</f>
        <v/>
      </c>
      <c r="AQ23" t="str">
        <f>IF($B24="","",$D24/100*VLOOKUP(TRIM($B24),Base_bromato!$A:$AM,34,FALSE))</f>
        <v/>
      </c>
      <c r="AR23" t="str">
        <f>IF($B24="","",$D24/100*VLOOKUP(TRIM($B24),Base_bromato!$A:$AM,35,FALSE))</f>
        <v/>
      </c>
      <c r="AS23" t="str">
        <f>IF($B24="","",$D24/100*VLOOKUP(TRIM($B24),Base_bromato!$A:$AM,36,FALSE))</f>
        <v/>
      </c>
      <c r="AT23" t="str">
        <f>IF($B24="","",$D24/100*VLOOKUP(TRIM($B24),Base_bromato!$A:$AM,37,FALSE))</f>
        <v/>
      </c>
      <c r="AU23" t="str">
        <f>IF($B24="","",$D24/100*VLOOKUP(TRIM($B24),Base_bromato!$A:$AM,38,FALSE))</f>
        <v/>
      </c>
      <c r="AV23" t="str">
        <f>IF($B24="","",$D24/100*VLOOKUP(TRIM($B24),Base_bromato!$A:$AM,39,FALSE))</f>
        <v/>
      </c>
    </row>
    <row r="24" spans="2:48" ht="19.5" thickBot="1" x14ac:dyDescent="0.3">
      <c r="B24" s="41"/>
      <c r="C24" s="41"/>
      <c r="D24" s="11"/>
      <c r="E24" s="11"/>
      <c r="F24" s="11">
        <f t="shared" si="1"/>
        <v>0</v>
      </c>
      <c r="G24" s="42"/>
      <c r="H24" s="5" t="s">
        <v>25</v>
      </c>
      <c r="I24" s="15">
        <f>INDEX(Base_bromato!$C$68:$L$104,MATCH(Formular!H24,Base_bromato!$B$68:$B$104,0),MATCH(Formular!$E$3,Base_bromato!$C$67:$L$67,0))</f>
        <v>1.5</v>
      </c>
      <c r="J24" s="16" t="str">
        <f t="shared" ca="1" si="0"/>
        <v/>
      </c>
      <c r="K24" s="6"/>
      <c r="L24" t="str">
        <f>IF($B25="","",$D25/100*VLOOKUP(TRIM($B25),Base_bromato!$A:$AM,3,FALSE))</f>
        <v/>
      </c>
      <c r="M24" t="str">
        <f>IF($B25="","",$D25/100*VLOOKUP(TRIM($B25),Base_bromato!$A:$AM,4,FALSE))</f>
        <v/>
      </c>
      <c r="N24" t="str">
        <f>IF($B25="","",$D25/100*VLOOKUP(TRIM($B25),Base_bromato!$A:$AM,5,FALSE))</f>
        <v/>
      </c>
      <c r="O24" t="str">
        <f>IF($B25="","",$D25/100*VLOOKUP(TRIM($B25),Base_bromato!$A:$AM,6,FALSE))</f>
        <v/>
      </c>
      <c r="P24" t="str">
        <f>IF($B25="","",$D25/100*VLOOKUP(TRIM($B25),Base_bromato!$A:$AM,7,FALSE))</f>
        <v/>
      </c>
      <c r="Q24" t="str">
        <f>IF($B25="","",$D25/100*VLOOKUP(TRIM($B25),Base_bromato!$A:$AM,8,FALSE))</f>
        <v/>
      </c>
      <c r="R24" t="str">
        <f>IF($B25="","",$D25/100*VLOOKUP(TRIM($B25),Base_bromato!$A:$AM,9,FALSE))</f>
        <v/>
      </c>
      <c r="S24" t="str">
        <f>IF($B25="","",$D25/100*VLOOKUP(TRIM($B25),Base_bromato!$A:$AM,10,FALSE))</f>
        <v/>
      </c>
      <c r="T24" t="str">
        <f>IF($B25="","",$D25/100*VLOOKUP(TRIM($B25),Base_bromato!$A:$AM,11,FALSE))</f>
        <v/>
      </c>
      <c r="U24" t="str">
        <f>IF($B25="","",$D25/100*VLOOKUP(TRIM($B25),Base_bromato!$A:$AM,12,FALSE))</f>
        <v/>
      </c>
      <c r="V24" t="str">
        <f>IF($B25="","",$D25/100*VLOOKUP(TRIM($B25),Base_bromato!$A:$AM,13,FALSE))</f>
        <v/>
      </c>
      <c r="W24" t="str">
        <f>IF($B25="","",$D25/100*VLOOKUP(TRIM($B25),Base_bromato!$A:$AM,14,FALSE))</f>
        <v/>
      </c>
      <c r="X24" t="str">
        <f>IF($B25="","",$D25/100*VLOOKUP(TRIM($B25),Base_bromato!$A:$AM,15,FALSE))</f>
        <v/>
      </c>
      <c r="Y24" t="str">
        <f>IF($B25="","",$D25/100*VLOOKUP(TRIM($B25),Base_bromato!$A:$AM,16,FALSE))</f>
        <v/>
      </c>
      <c r="Z24" t="str">
        <f>IF($B25="","",$D25/100*VLOOKUP(TRIM($B25),Base_bromato!$A:$AM,17,FALSE))</f>
        <v/>
      </c>
      <c r="AA24" t="str">
        <f>IF($B25="","",$D25/100*VLOOKUP(TRIM($B25),Base_bromato!$A:$AM,18,FALSE))</f>
        <v/>
      </c>
      <c r="AB24" t="str">
        <f>IF($B25="","",$D25/100*VLOOKUP(TRIM($B25),Base_bromato!$A:$AM,19,FALSE))</f>
        <v/>
      </c>
      <c r="AC24" t="str">
        <f>IF($B25="","",$D25/100*VLOOKUP(TRIM($B25),Base_bromato!$A:$AM,20,FALSE))</f>
        <v/>
      </c>
      <c r="AD24" t="str">
        <f>IF($B25="","",$D25/100*VLOOKUP(TRIM($B25),Base_bromato!$A:$AM,21,FALSE))</f>
        <v/>
      </c>
      <c r="AE24" t="str">
        <f>IF($B25="","",$D25/100*VLOOKUP(TRIM($B25),Base_bromato!$A:$AM,22,FALSE))</f>
        <v/>
      </c>
      <c r="AF24" t="str">
        <f>IF($B25="","",$D25/100*VLOOKUP(TRIM($B25),Base_bromato!$A:$AM,23,FALSE))</f>
        <v/>
      </c>
      <c r="AG24" t="str">
        <f>IF($B25="","",$D25/100*VLOOKUP(TRIM($B25),Base_bromato!$A:$AM,24,FALSE))</f>
        <v/>
      </c>
      <c r="AH24" t="str">
        <f>IF($B25="","",$D25/100*VLOOKUP(TRIM($B25),Base_bromato!$A:$AM,25,FALSE))</f>
        <v/>
      </c>
      <c r="AI24" t="str">
        <f>IF($B25="","",$D25/100*VLOOKUP(TRIM($B25),Base_bromato!$A:$AM,26,FALSE))</f>
        <v/>
      </c>
      <c r="AJ24" t="str">
        <f>IF($B25="","",$D25/100*VLOOKUP(TRIM($B25),Base_bromato!$A:$AM,27,FALSE))</f>
        <v/>
      </c>
      <c r="AK24" t="str">
        <f>IF($B25="","",$D25/100*VLOOKUP(TRIM($B25),Base_bromato!$A:$AM,28,FALSE))</f>
        <v/>
      </c>
      <c r="AL24" t="str">
        <f>IF($B25="","",$D25/100*VLOOKUP(TRIM($B25),Base_bromato!$A:$AM,29,FALSE))</f>
        <v/>
      </c>
      <c r="AM24" t="str">
        <f>IF($B25="","",$D25/100*VLOOKUP(TRIM($B25),Base_bromato!$A:$AM,30,FALSE))</f>
        <v/>
      </c>
      <c r="AN24" t="str">
        <f>IF($B25="","",$D25/100*VLOOKUP(TRIM($B25),Base_bromato!$A:$AM,31,FALSE))</f>
        <v/>
      </c>
      <c r="AO24" t="str">
        <f>IF($B25="","",$D25/100*VLOOKUP(TRIM($B25),Base_bromato!$A:$AM,32,FALSE))</f>
        <v/>
      </c>
      <c r="AP24" t="str">
        <f>IF($B25="","",$D25/100*VLOOKUP(TRIM($B25),Base_bromato!$A:$AM,33,FALSE))</f>
        <v/>
      </c>
      <c r="AQ24" t="str">
        <f>IF($B25="","",$D25/100*VLOOKUP(TRIM($B25),Base_bromato!$A:$AM,34,FALSE))</f>
        <v/>
      </c>
      <c r="AR24" t="str">
        <f>IF($B25="","",$D25/100*VLOOKUP(TRIM($B25),Base_bromato!$A:$AM,35,FALSE))</f>
        <v/>
      </c>
      <c r="AS24" t="str">
        <f>IF($B25="","",$D25/100*VLOOKUP(TRIM($B25),Base_bromato!$A:$AM,36,FALSE))</f>
        <v/>
      </c>
      <c r="AT24" t="str">
        <f>IF($B25="","",$D25/100*VLOOKUP(TRIM($B25),Base_bromato!$A:$AM,37,FALSE))</f>
        <v/>
      </c>
      <c r="AU24" t="str">
        <f>IF($B25="","",$D25/100*VLOOKUP(TRIM($B25),Base_bromato!$A:$AM,38,FALSE))</f>
        <v/>
      </c>
      <c r="AV24" t="str">
        <f>IF($B25="","",$D25/100*VLOOKUP(TRIM($B25),Base_bromato!$A:$AM,39,FALSE))</f>
        <v/>
      </c>
    </row>
    <row r="25" spans="2:48" ht="19.5" thickBot="1" x14ac:dyDescent="0.3">
      <c r="B25" s="41"/>
      <c r="C25" s="41"/>
      <c r="D25" s="11"/>
      <c r="E25" s="11"/>
      <c r="F25" s="11">
        <f t="shared" si="1"/>
        <v>0</v>
      </c>
      <c r="G25" s="42"/>
      <c r="H25" s="5" t="s">
        <v>26</v>
      </c>
      <c r="I25" s="15">
        <f>INDEX(Base_bromato!$C$68:$L$104,MATCH(Formular!H25,Base_bromato!$B$68:$B$104,0),MATCH(Formular!$E$3,Base_bromato!$C$67:$L$67,0))</f>
        <v>4</v>
      </c>
      <c r="J25" s="16" t="str">
        <f t="shared" ca="1" si="0"/>
        <v/>
      </c>
      <c r="K25" s="6"/>
      <c r="L25" t="str">
        <f>IF($B26="","",$D26/100*VLOOKUP(TRIM($B26),Base_bromato!$A:$AM,3,FALSE))</f>
        <v/>
      </c>
      <c r="M25" t="str">
        <f>IF($B26="","",$D26/100*VLOOKUP(TRIM($B26),Base_bromato!$A:$AM,4,FALSE))</f>
        <v/>
      </c>
      <c r="N25" t="str">
        <f>IF($B26="","",$D26/100*VLOOKUP(TRIM($B26),Base_bromato!$A:$AM,5,FALSE))</f>
        <v/>
      </c>
      <c r="O25" t="str">
        <f>IF($B26="","",$D26/100*VLOOKUP(TRIM($B26),Base_bromato!$A:$AM,6,FALSE))</f>
        <v/>
      </c>
      <c r="P25" t="str">
        <f>IF($B26="","",$D26/100*VLOOKUP(TRIM($B26),Base_bromato!$A:$AM,7,FALSE))</f>
        <v/>
      </c>
      <c r="Q25" t="str">
        <f>IF($B26="","",$D26/100*VLOOKUP(TRIM($B26),Base_bromato!$A:$AM,8,FALSE))</f>
        <v/>
      </c>
      <c r="R25" t="str">
        <f>IF($B26="","",$D26/100*VLOOKUP(TRIM($B26),Base_bromato!$A:$AM,9,FALSE))</f>
        <v/>
      </c>
      <c r="S25" t="str">
        <f>IF($B26="","",$D26/100*VLOOKUP(TRIM($B26),Base_bromato!$A:$AM,10,FALSE))</f>
        <v/>
      </c>
      <c r="T25" t="str">
        <f>IF($B26="","",$D26/100*VLOOKUP(TRIM($B26),Base_bromato!$A:$AM,11,FALSE))</f>
        <v/>
      </c>
      <c r="U25" t="str">
        <f>IF($B26="","",$D26/100*VLOOKUP(TRIM($B26),Base_bromato!$A:$AM,12,FALSE))</f>
        <v/>
      </c>
      <c r="V25" t="str">
        <f>IF($B26="","",$D26/100*VLOOKUP(TRIM($B26),Base_bromato!$A:$AM,13,FALSE))</f>
        <v/>
      </c>
      <c r="W25" t="str">
        <f>IF($B26="","",$D26/100*VLOOKUP(TRIM($B26),Base_bromato!$A:$AM,14,FALSE))</f>
        <v/>
      </c>
      <c r="X25" t="str">
        <f>IF($B26="","",$D26/100*VLOOKUP(TRIM($B26),Base_bromato!$A:$AM,15,FALSE))</f>
        <v/>
      </c>
      <c r="Y25" t="str">
        <f>IF($B26="","",$D26/100*VLOOKUP(TRIM($B26),Base_bromato!$A:$AM,16,FALSE))</f>
        <v/>
      </c>
      <c r="Z25" t="str">
        <f>IF($B26="","",$D26/100*VLOOKUP(TRIM($B26),Base_bromato!$A:$AM,17,FALSE))</f>
        <v/>
      </c>
      <c r="AA25" t="str">
        <f>IF($B26="","",$D26/100*VLOOKUP(TRIM($B26),Base_bromato!$A:$AM,18,FALSE))</f>
        <v/>
      </c>
      <c r="AB25" t="str">
        <f>IF($B26="","",$D26/100*VLOOKUP(TRIM($B26),Base_bromato!$A:$AM,19,FALSE))</f>
        <v/>
      </c>
      <c r="AC25" t="str">
        <f>IF($B26="","",$D26/100*VLOOKUP(TRIM($B26),Base_bromato!$A:$AM,20,FALSE))</f>
        <v/>
      </c>
      <c r="AD25" t="str">
        <f>IF($B26="","",$D26/100*VLOOKUP(TRIM($B26),Base_bromato!$A:$AM,21,FALSE))</f>
        <v/>
      </c>
      <c r="AE25" t="str">
        <f>IF($B26="","",$D26/100*VLOOKUP(TRIM($B26),Base_bromato!$A:$AM,22,FALSE))</f>
        <v/>
      </c>
      <c r="AF25" t="str">
        <f>IF($B26="","",$D26/100*VLOOKUP(TRIM($B26),Base_bromato!$A:$AM,23,FALSE))</f>
        <v/>
      </c>
      <c r="AG25" t="str">
        <f>IF($B26="","",$D26/100*VLOOKUP(TRIM($B26),Base_bromato!$A:$AM,24,FALSE))</f>
        <v/>
      </c>
      <c r="AH25" t="str">
        <f>IF($B26="","",$D26/100*VLOOKUP(TRIM($B26),Base_bromato!$A:$AM,25,FALSE))</f>
        <v/>
      </c>
      <c r="AI25" t="str">
        <f>IF($B26="","",$D26/100*VLOOKUP(TRIM($B26),Base_bromato!$A:$AM,26,FALSE))</f>
        <v/>
      </c>
      <c r="AJ25" t="str">
        <f>IF($B26="","",$D26/100*VLOOKUP(TRIM($B26),Base_bromato!$A:$AM,27,FALSE))</f>
        <v/>
      </c>
      <c r="AK25" t="str">
        <f>IF($B26="","",$D26/100*VLOOKUP(TRIM($B26),Base_bromato!$A:$AM,28,FALSE))</f>
        <v/>
      </c>
      <c r="AL25" t="str">
        <f>IF($B26="","",$D26/100*VLOOKUP(TRIM($B26),Base_bromato!$A:$AM,29,FALSE))</f>
        <v/>
      </c>
      <c r="AM25" t="str">
        <f>IF($B26="","",$D26/100*VLOOKUP(TRIM($B26),Base_bromato!$A:$AM,30,FALSE))</f>
        <v/>
      </c>
      <c r="AN25" t="str">
        <f>IF($B26="","",$D26/100*VLOOKUP(TRIM($B26),Base_bromato!$A:$AM,31,FALSE))</f>
        <v/>
      </c>
      <c r="AO25" t="str">
        <f>IF($B26="","",$D26/100*VLOOKUP(TRIM($B26),Base_bromato!$A:$AM,32,FALSE))</f>
        <v/>
      </c>
      <c r="AP25" t="str">
        <f>IF($B26="","",$D26/100*VLOOKUP(TRIM($B26),Base_bromato!$A:$AM,33,FALSE))</f>
        <v/>
      </c>
      <c r="AQ25" t="str">
        <f>IF($B26="","",$D26/100*VLOOKUP(TRIM($B26),Base_bromato!$A:$AM,34,FALSE))</f>
        <v/>
      </c>
      <c r="AR25" t="str">
        <f>IF($B26="","",$D26/100*VLOOKUP(TRIM($B26),Base_bromato!$A:$AM,35,FALSE))</f>
        <v/>
      </c>
      <c r="AS25" t="str">
        <f>IF($B26="","",$D26/100*VLOOKUP(TRIM($B26),Base_bromato!$A:$AM,36,FALSE))</f>
        <v/>
      </c>
      <c r="AT25" t="str">
        <f>IF($B26="","",$D26/100*VLOOKUP(TRIM($B26),Base_bromato!$A:$AM,37,FALSE))</f>
        <v/>
      </c>
      <c r="AU25" t="str">
        <f>IF($B26="","",$D26/100*VLOOKUP(TRIM($B26),Base_bromato!$A:$AM,38,FALSE))</f>
        <v/>
      </c>
      <c r="AV25" t="str">
        <f>IF($B26="","",$D26/100*VLOOKUP(TRIM($B26),Base_bromato!$A:$AM,39,FALSE))</f>
        <v/>
      </c>
    </row>
    <row r="26" spans="2:48" ht="19.5" thickBot="1" x14ac:dyDescent="0.3">
      <c r="B26" s="41"/>
      <c r="C26" s="41"/>
      <c r="D26" s="11"/>
      <c r="E26" s="11"/>
      <c r="F26" s="11">
        <f t="shared" si="1"/>
        <v>0</v>
      </c>
      <c r="G26" s="42"/>
      <c r="H26" s="5" t="s">
        <v>27</v>
      </c>
      <c r="I26" s="15">
        <f>INDEX(Base_bromato!$C$68:$L$104,MATCH(Formular!H26,Base_bromato!$B$68:$B$104,0),MATCH(Formular!$E$3,Base_bromato!$C$67:$L$67,0))</f>
        <v>2.5</v>
      </c>
      <c r="J26" s="16" t="str">
        <f t="shared" ca="1" si="0"/>
        <v/>
      </c>
      <c r="K26" s="6"/>
      <c r="L26" t="str">
        <f>IF($B27="","",$D27/100*VLOOKUP(TRIM($B27),Base_bromato!$A:$AM,3,FALSE))</f>
        <v/>
      </c>
      <c r="M26" t="str">
        <f>IF($B27="","",$D27/100*VLOOKUP(TRIM($B27),Base_bromato!$A:$AM,4,FALSE))</f>
        <v/>
      </c>
      <c r="N26" t="str">
        <f>IF($B27="","",$D27/100*VLOOKUP(TRIM($B27),Base_bromato!$A:$AM,5,FALSE))</f>
        <v/>
      </c>
      <c r="O26" t="str">
        <f>IF($B27="","",$D27/100*VLOOKUP(TRIM($B27),Base_bromato!$A:$AM,6,FALSE))</f>
        <v/>
      </c>
      <c r="P26" t="str">
        <f>IF($B27="","",$D27/100*VLOOKUP(TRIM($B27),Base_bromato!$A:$AM,7,FALSE))</f>
        <v/>
      </c>
      <c r="Q26" t="str">
        <f>IF($B27="","",$D27/100*VLOOKUP(TRIM($B27),Base_bromato!$A:$AM,8,FALSE))</f>
        <v/>
      </c>
      <c r="R26" t="str">
        <f>IF($B27="","",$D27/100*VLOOKUP(TRIM($B27),Base_bromato!$A:$AM,9,FALSE))</f>
        <v/>
      </c>
      <c r="S26" t="str">
        <f>IF($B27="","",$D27/100*VLOOKUP(TRIM($B27),Base_bromato!$A:$AM,10,FALSE))</f>
        <v/>
      </c>
      <c r="T26" t="str">
        <f>IF($B27="","",$D27/100*VLOOKUP(TRIM($B27),Base_bromato!$A:$AM,11,FALSE))</f>
        <v/>
      </c>
      <c r="U26" t="str">
        <f>IF($B27="","",$D27/100*VLOOKUP(TRIM($B27),Base_bromato!$A:$AM,12,FALSE))</f>
        <v/>
      </c>
      <c r="V26" t="str">
        <f>IF($B27="","",$D27/100*VLOOKUP(TRIM($B27),Base_bromato!$A:$AM,13,FALSE))</f>
        <v/>
      </c>
      <c r="W26" t="str">
        <f>IF($B27="","",$D27/100*VLOOKUP(TRIM($B27),Base_bromato!$A:$AM,14,FALSE))</f>
        <v/>
      </c>
      <c r="X26" t="str">
        <f>IF($B27="","",$D27/100*VLOOKUP(TRIM($B27),Base_bromato!$A:$AM,15,FALSE))</f>
        <v/>
      </c>
      <c r="Y26" t="str">
        <f>IF($B27="","",$D27/100*VLOOKUP(TRIM($B27),Base_bromato!$A:$AM,16,FALSE))</f>
        <v/>
      </c>
      <c r="Z26" t="str">
        <f>IF($B27="","",$D27/100*VLOOKUP(TRIM($B27),Base_bromato!$A:$AM,17,FALSE))</f>
        <v/>
      </c>
      <c r="AA26" t="str">
        <f>IF($B27="","",$D27/100*VLOOKUP(TRIM($B27),Base_bromato!$A:$AM,18,FALSE))</f>
        <v/>
      </c>
      <c r="AB26" t="str">
        <f>IF($B27="","",$D27/100*VLOOKUP(TRIM($B27),Base_bromato!$A:$AM,19,FALSE))</f>
        <v/>
      </c>
      <c r="AC26" t="str">
        <f>IF($B27="","",$D27/100*VLOOKUP(TRIM($B27),Base_bromato!$A:$AM,20,FALSE))</f>
        <v/>
      </c>
      <c r="AD26" t="str">
        <f>IF($B27="","",$D27/100*VLOOKUP(TRIM($B27),Base_bromato!$A:$AM,21,FALSE))</f>
        <v/>
      </c>
      <c r="AE26" t="str">
        <f>IF($B27="","",$D27/100*VLOOKUP(TRIM($B27),Base_bromato!$A:$AM,22,FALSE))</f>
        <v/>
      </c>
      <c r="AF26" t="str">
        <f>IF($B27="","",$D27/100*VLOOKUP(TRIM($B27),Base_bromato!$A:$AM,23,FALSE))</f>
        <v/>
      </c>
      <c r="AG26" t="str">
        <f>IF($B27="","",$D27/100*VLOOKUP(TRIM($B27),Base_bromato!$A:$AM,24,FALSE))</f>
        <v/>
      </c>
      <c r="AH26" t="str">
        <f>IF($B27="","",$D27/100*VLOOKUP(TRIM($B27),Base_bromato!$A:$AM,25,FALSE))</f>
        <v/>
      </c>
      <c r="AI26" t="str">
        <f>IF($B27="","",$D27/100*VLOOKUP(TRIM($B27),Base_bromato!$A:$AM,26,FALSE))</f>
        <v/>
      </c>
      <c r="AJ26" t="str">
        <f>IF($B27="","",$D27/100*VLOOKUP(TRIM($B27),Base_bromato!$A:$AM,27,FALSE))</f>
        <v/>
      </c>
      <c r="AK26" t="str">
        <f>IF($B27="","",$D27/100*VLOOKUP(TRIM($B27),Base_bromato!$A:$AM,28,FALSE))</f>
        <v/>
      </c>
      <c r="AL26" t="str">
        <f>IF($B27="","",$D27/100*VLOOKUP(TRIM($B27),Base_bromato!$A:$AM,29,FALSE))</f>
        <v/>
      </c>
      <c r="AM26" t="str">
        <f>IF($B27="","",$D27/100*VLOOKUP(TRIM($B27),Base_bromato!$A:$AM,30,FALSE))</f>
        <v/>
      </c>
      <c r="AN26" t="str">
        <f>IF($B27="","",$D27/100*VLOOKUP(TRIM($B27),Base_bromato!$A:$AM,31,FALSE))</f>
        <v/>
      </c>
      <c r="AO26" t="str">
        <f>IF($B27="","",$D27/100*VLOOKUP(TRIM($B27),Base_bromato!$A:$AM,32,FALSE))</f>
        <v/>
      </c>
      <c r="AP26" t="str">
        <f>IF($B27="","",$D27/100*VLOOKUP(TRIM($B27),Base_bromato!$A:$AM,33,FALSE))</f>
        <v/>
      </c>
      <c r="AQ26" t="str">
        <f>IF($B27="","",$D27/100*VLOOKUP(TRIM($B27),Base_bromato!$A:$AM,34,FALSE))</f>
        <v/>
      </c>
      <c r="AR26" t="str">
        <f>IF($B27="","",$D27/100*VLOOKUP(TRIM($B27),Base_bromato!$A:$AM,35,FALSE))</f>
        <v/>
      </c>
      <c r="AS26" t="str">
        <f>IF($B27="","",$D27/100*VLOOKUP(TRIM($B27),Base_bromato!$A:$AM,36,FALSE))</f>
        <v/>
      </c>
      <c r="AT26" t="str">
        <f>IF($B27="","",$D27/100*VLOOKUP(TRIM($B27),Base_bromato!$A:$AM,37,FALSE))</f>
        <v/>
      </c>
      <c r="AU26" t="str">
        <f>IF($B27="","",$D27/100*VLOOKUP(TRIM($B27),Base_bromato!$A:$AM,38,FALSE))</f>
        <v/>
      </c>
      <c r="AV26" t="str">
        <f>IF($B27="","",$D27/100*VLOOKUP(TRIM($B27),Base_bromato!$A:$AM,39,FALSE))</f>
        <v/>
      </c>
    </row>
    <row r="27" spans="2:48" ht="19.5" thickBot="1" x14ac:dyDescent="0.3">
      <c r="B27" s="41"/>
      <c r="C27" s="41"/>
      <c r="D27" s="11"/>
      <c r="E27" s="11"/>
      <c r="F27" s="11">
        <f t="shared" si="1"/>
        <v>0</v>
      </c>
      <c r="G27" s="42"/>
      <c r="H27" s="5" t="s">
        <v>28</v>
      </c>
      <c r="I27" s="15">
        <f>INDEX(Base_bromato!$C$68:$L$104,MATCH(Formular!H27,Base_bromato!$B$68:$B$104,0),MATCH(Formular!$E$3,Base_bromato!$C$67:$L$67,0))</f>
        <v>0.01</v>
      </c>
      <c r="J27" s="16" t="str">
        <f t="shared" ca="1" si="0"/>
        <v/>
      </c>
      <c r="K27" s="6"/>
      <c r="L27" t="str">
        <f>IF($B28="","",$D28/100*VLOOKUP(TRIM($B28),Base_bromato!$A:$AM,3,FALSE))</f>
        <v/>
      </c>
      <c r="M27" t="str">
        <f>IF($B28="","",$D28/100*VLOOKUP(TRIM($B28),Base_bromato!$A:$AM,4,FALSE))</f>
        <v/>
      </c>
      <c r="N27" t="str">
        <f>IF($B28="","",$D28/100*VLOOKUP(TRIM($B28),Base_bromato!$A:$AM,5,FALSE))</f>
        <v/>
      </c>
      <c r="O27" t="str">
        <f>IF($B28="","",$D28/100*VLOOKUP(TRIM($B28),Base_bromato!$A:$AM,6,FALSE))</f>
        <v/>
      </c>
      <c r="P27" t="str">
        <f>IF($B28="","",$D28/100*VLOOKUP(TRIM($B28),Base_bromato!$A:$AM,7,FALSE))</f>
        <v/>
      </c>
      <c r="Q27" t="str">
        <f>IF($B28="","",$D28/100*VLOOKUP(TRIM($B28),Base_bromato!$A:$AM,8,FALSE))</f>
        <v/>
      </c>
      <c r="R27" t="str">
        <f>IF($B28="","",$D28/100*VLOOKUP(TRIM($B28),Base_bromato!$A:$AM,9,FALSE))</f>
        <v/>
      </c>
      <c r="S27" t="str">
        <f>IF($B28="","",$D28/100*VLOOKUP(TRIM($B28),Base_bromato!$A:$AM,10,FALSE))</f>
        <v/>
      </c>
      <c r="T27" t="str">
        <f>IF($B28="","",$D28/100*VLOOKUP(TRIM($B28),Base_bromato!$A:$AM,11,FALSE))</f>
        <v/>
      </c>
      <c r="U27" t="str">
        <f>IF($B28="","",$D28/100*VLOOKUP(TRIM($B28),Base_bromato!$A:$AM,12,FALSE))</f>
        <v/>
      </c>
      <c r="V27" t="str">
        <f>IF($B28="","",$D28/100*VLOOKUP(TRIM($B28),Base_bromato!$A:$AM,13,FALSE))</f>
        <v/>
      </c>
      <c r="W27" t="str">
        <f>IF($B28="","",$D28/100*VLOOKUP(TRIM($B28),Base_bromato!$A:$AM,14,FALSE))</f>
        <v/>
      </c>
      <c r="X27" t="str">
        <f>IF($B28="","",$D28/100*VLOOKUP(TRIM($B28),Base_bromato!$A:$AM,15,FALSE))</f>
        <v/>
      </c>
      <c r="Y27" t="str">
        <f>IF($B28="","",$D28/100*VLOOKUP(TRIM($B28),Base_bromato!$A:$AM,16,FALSE))</f>
        <v/>
      </c>
      <c r="Z27" t="str">
        <f>IF($B28="","",$D28/100*VLOOKUP(TRIM($B28),Base_bromato!$A:$AM,17,FALSE))</f>
        <v/>
      </c>
      <c r="AA27" t="str">
        <f>IF($B28="","",$D28/100*VLOOKUP(TRIM($B28),Base_bromato!$A:$AM,18,FALSE))</f>
        <v/>
      </c>
      <c r="AB27" t="str">
        <f>IF($B28="","",$D28/100*VLOOKUP(TRIM($B28),Base_bromato!$A:$AM,19,FALSE))</f>
        <v/>
      </c>
      <c r="AC27" t="str">
        <f>IF($B28="","",$D28/100*VLOOKUP(TRIM($B28),Base_bromato!$A:$AM,20,FALSE))</f>
        <v/>
      </c>
      <c r="AD27" t="str">
        <f>IF($B28="","",$D28/100*VLOOKUP(TRIM($B28),Base_bromato!$A:$AM,21,FALSE))</f>
        <v/>
      </c>
      <c r="AE27" t="str">
        <f>IF($B28="","",$D28/100*VLOOKUP(TRIM($B28),Base_bromato!$A:$AM,22,FALSE))</f>
        <v/>
      </c>
      <c r="AF27" t="str">
        <f>IF($B28="","",$D28/100*VLOOKUP(TRIM($B28),Base_bromato!$A:$AM,23,FALSE))</f>
        <v/>
      </c>
      <c r="AG27" t="str">
        <f>IF($B28="","",$D28/100*VLOOKUP(TRIM($B28),Base_bromato!$A:$AM,24,FALSE))</f>
        <v/>
      </c>
      <c r="AH27" t="str">
        <f>IF($B28="","",$D28/100*VLOOKUP(TRIM($B28),Base_bromato!$A:$AM,25,FALSE))</f>
        <v/>
      </c>
      <c r="AI27" t="str">
        <f>IF($B28="","",$D28/100*VLOOKUP(TRIM($B28),Base_bromato!$A:$AM,26,FALSE))</f>
        <v/>
      </c>
      <c r="AJ27" t="str">
        <f>IF($B28="","",$D28/100*VLOOKUP(TRIM($B28),Base_bromato!$A:$AM,27,FALSE))</f>
        <v/>
      </c>
      <c r="AK27" t="str">
        <f>IF($B28="","",$D28/100*VLOOKUP(TRIM($B28),Base_bromato!$A:$AM,28,FALSE))</f>
        <v/>
      </c>
      <c r="AL27" t="str">
        <f>IF($B28="","",$D28/100*VLOOKUP(TRIM($B28),Base_bromato!$A:$AM,29,FALSE))</f>
        <v/>
      </c>
      <c r="AM27" t="str">
        <f>IF($B28="","",$D28/100*VLOOKUP(TRIM($B28),Base_bromato!$A:$AM,30,FALSE))</f>
        <v/>
      </c>
      <c r="AN27" t="str">
        <f>IF($B28="","",$D28/100*VLOOKUP(TRIM($B28),Base_bromato!$A:$AM,31,FALSE))</f>
        <v/>
      </c>
      <c r="AO27" t="str">
        <f>IF($B28="","",$D28/100*VLOOKUP(TRIM($B28),Base_bromato!$A:$AM,32,FALSE))</f>
        <v/>
      </c>
      <c r="AP27" t="str">
        <f>IF($B28="","",$D28/100*VLOOKUP(TRIM($B28),Base_bromato!$A:$AM,33,FALSE))</f>
        <v/>
      </c>
      <c r="AQ27" t="str">
        <f>IF($B28="","",$D28/100*VLOOKUP(TRIM($B28),Base_bromato!$A:$AM,34,FALSE))</f>
        <v/>
      </c>
      <c r="AR27" t="str">
        <f>IF($B28="","",$D28/100*VLOOKUP(TRIM($B28),Base_bromato!$A:$AM,35,FALSE))</f>
        <v/>
      </c>
      <c r="AS27" t="str">
        <f>IF($B28="","",$D28/100*VLOOKUP(TRIM($B28),Base_bromato!$A:$AM,36,FALSE))</f>
        <v/>
      </c>
      <c r="AT27" t="str">
        <f>IF($B28="","",$D28/100*VLOOKUP(TRIM($B28),Base_bromato!$A:$AM,37,FALSE))</f>
        <v/>
      </c>
      <c r="AU27" t="str">
        <f>IF($B28="","",$D28/100*VLOOKUP(TRIM($B28),Base_bromato!$A:$AM,38,FALSE))</f>
        <v/>
      </c>
      <c r="AV27" t="str">
        <f>IF($B28="","",$D28/100*VLOOKUP(TRIM($B28),Base_bromato!$A:$AM,39,FALSE))</f>
        <v/>
      </c>
    </row>
    <row r="28" spans="2:48" ht="19.5" thickBot="1" x14ac:dyDescent="0.3">
      <c r="B28" s="41"/>
      <c r="C28" s="41"/>
      <c r="D28" s="11"/>
      <c r="E28" s="11"/>
      <c r="F28" s="11">
        <f t="shared" si="1"/>
        <v>0</v>
      </c>
      <c r="G28" s="42"/>
      <c r="H28" s="5" t="s">
        <v>30</v>
      </c>
      <c r="I28" s="15">
        <f>INDEX(Base_bromato!$C$68:$L$104,MATCH(Formular!H28,Base_bromato!$B$68:$B$104,0),MATCH(Formular!$E$3,Base_bromato!$C$67:$L$67,0))</f>
        <v>2000</v>
      </c>
      <c r="J28" s="16" t="str">
        <f t="shared" ca="1" si="0"/>
        <v/>
      </c>
      <c r="K28" s="6"/>
      <c r="L28" t="str">
        <f>IF($B29="","",$D29/100*VLOOKUP(TRIM($B29),Base_bromato!$A:$AM,3,FALSE))</f>
        <v/>
      </c>
      <c r="M28" t="str">
        <f>IF($B29="","",$D29/100*VLOOKUP(TRIM($B29),Base_bromato!$A:$AM,4,FALSE))</f>
        <v/>
      </c>
      <c r="N28" t="str">
        <f>IF($B29="","",$D29/100*VLOOKUP(TRIM($B29),Base_bromato!$A:$AM,5,FALSE))</f>
        <v/>
      </c>
      <c r="O28" t="str">
        <f>IF($B29="","",$D29/100*VLOOKUP(TRIM($B29),Base_bromato!$A:$AM,6,FALSE))</f>
        <v/>
      </c>
      <c r="P28" t="str">
        <f>IF($B29="","",$D29/100*VLOOKUP(TRIM($B29),Base_bromato!$A:$AM,7,FALSE))</f>
        <v/>
      </c>
      <c r="Q28" t="str">
        <f>IF($B29="","",$D29/100*VLOOKUP(TRIM($B29),Base_bromato!$A:$AM,8,FALSE))</f>
        <v/>
      </c>
      <c r="R28" t="str">
        <f>IF($B29="","",$D29/100*VLOOKUP(TRIM($B29),Base_bromato!$A:$AM,9,FALSE))</f>
        <v/>
      </c>
      <c r="S28" t="str">
        <f>IF($B29="","",$D29/100*VLOOKUP(TRIM($B29),Base_bromato!$A:$AM,10,FALSE))</f>
        <v/>
      </c>
      <c r="T28" t="str">
        <f>IF($B29="","",$D29/100*VLOOKUP(TRIM($B29),Base_bromato!$A:$AM,11,FALSE))</f>
        <v/>
      </c>
      <c r="U28" t="str">
        <f>IF($B29="","",$D29/100*VLOOKUP(TRIM($B29),Base_bromato!$A:$AM,12,FALSE))</f>
        <v/>
      </c>
      <c r="V28" t="str">
        <f>IF($B29="","",$D29/100*VLOOKUP(TRIM($B29),Base_bromato!$A:$AM,13,FALSE))</f>
        <v/>
      </c>
      <c r="W28" t="str">
        <f>IF($B29="","",$D29/100*VLOOKUP(TRIM($B29),Base_bromato!$A:$AM,14,FALSE))</f>
        <v/>
      </c>
      <c r="X28" t="str">
        <f>IF($B29="","",$D29/100*VLOOKUP(TRIM($B29),Base_bromato!$A:$AM,15,FALSE))</f>
        <v/>
      </c>
      <c r="Y28" t="str">
        <f>IF($B29="","",$D29/100*VLOOKUP(TRIM($B29),Base_bromato!$A:$AM,16,FALSE))</f>
        <v/>
      </c>
      <c r="Z28" t="str">
        <f>IF($B29="","",$D29/100*VLOOKUP(TRIM($B29),Base_bromato!$A:$AM,17,FALSE))</f>
        <v/>
      </c>
      <c r="AA28" t="str">
        <f>IF($B29="","",$D29/100*VLOOKUP(TRIM($B29),Base_bromato!$A:$AM,18,FALSE))</f>
        <v/>
      </c>
      <c r="AB28" t="str">
        <f>IF($B29="","",$D29/100*VLOOKUP(TRIM($B29),Base_bromato!$A:$AM,19,FALSE))</f>
        <v/>
      </c>
      <c r="AC28" t="str">
        <f>IF($B29="","",$D29/100*VLOOKUP(TRIM($B29),Base_bromato!$A:$AM,20,FALSE))</f>
        <v/>
      </c>
      <c r="AD28" t="str">
        <f>IF($B29="","",$D29/100*VLOOKUP(TRIM($B29),Base_bromato!$A:$AM,21,FALSE))</f>
        <v/>
      </c>
      <c r="AE28" t="str">
        <f>IF($B29="","",$D29/100*VLOOKUP(TRIM($B29),Base_bromato!$A:$AM,22,FALSE))</f>
        <v/>
      </c>
      <c r="AF28" t="str">
        <f>IF($B29="","",$D29/100*VLOOKUP(TRIM($B29),Base_bromato!$A:$AM,23,FALSE))</f>
        <v/>
      </c>
      <c r="AG28" t="str">
        <f>IF($B29="","",$D29/100*VLOOKUP(TRIM($B29),Base_bromato!$A:$AM,24,FALSE))</f>
        <v/>
      </c>
      <c r="AH28" t="str">
        <f>IF($B29="","",$D29/100*VLOOKUP(TRIM($B29),Base_bromato!$A:$AM,25,FALSE))</f>
        <v/>
      </c>
      <c r="AI28" t="str">
        <f>IF($B29="","",$D29/100*VLOOKUP(TRIM($B29),Base_bromato!$A:$AM,26,FALSE))</f>
        <v/>
      </c>
      <c r="AJ28" t="str">
        <f>IF($B29="","",$D29/100*VLOOKUP(TRIM($B29),Base_bromato!$A:$AM,27,FALSE))</f>
        <v/>
      </c>
      <c r="AK28" t="str">
        <f>IF($B29="","",$D29/100*VLOOKUP(TRIM($B29),Base_bromato!$A:$AM,28,FALSE))</f>
        <v/>
      </c>
      <c r="AL28" t="str">
        <f>IF($B29="","",$D29/100*VLOOKUP(TRIM($B29),Base_bromato!$A:$AM,29,FALSE))</f>
        <v/>
      </c>
      <c r="AM28" t="str">
        <f>IF($B29="","",$D29/100*VLOOKUP(TRIM($B29),Base_bromato!$A:$AM,30,FALSE))</f>
        <v/>
      </c>
      <c r="AN28" t="str">
        <f>IF($B29="","",$D29/100*VLOOKUP(TRIM($B29),Base_bromato!$A:$AM,31,FALSE))</f>
        <v/>
      </c>
      <c r="AO28" t="str">
        <f>IF($B29="","",$D29/100*VLOOKUP(TRIM($B29),Base_bromato!$A:$AM,32,FALSE))</f>
        <v/>
      </c>
      <c r="AP28" t="str">
        <f>IF($B29="","",$D29/100*VLOOKUP(TRIM($B29),Base_bromato!$A:$AM,33,FALSE))</f>
        <v/>
      </c>
      <c r="AQ28" t="str">
        <f>IF($B29="","",$D29/100*VLOOKUP(TRIM($B29),Base_bromato!$A:$AM,34,FALSE))</f>
        <v/>
      </c>
      <c r="AR28" t="str">
        <f>IF($B29="","",$D29/100*VLOOKUP(TRIM($B29),Base_bromato!$A:$AM,35,FALSE))</f>
        <v/>
      </c>
      <c r="AS28" t="str">
        <f>IF($B29="","",$D29/100*VLOOKUP(TRIM($B29),Base_bromato!$A:$AM,36,FALSE))</f>
        <v/>
      </c>
      <c r="AT28" t="str">
        <f>IF($B29="","",$D29/100*VLOOKUP(TRIM($B29),Base_bromato!$A:$AM,37,FALSE))</f>
        <v/>
      </c>
      <c r="AU28" t="str">
        <f>IF($B29="","",$D29/100*VLOOKUP(TRIM($B29),Base_bromato!$A:$AM,38,FALSE))</f>
        <v/>
      </c>
      <c r="AV28" t="str">
        <f>IF($B29="","",$D29/100*VLOOKUP(TRIM($B29),Base_bromato!$A:$AM,39,FALSE))</f>
        <v/>
      </c>
    </row>
    <row r="29" spans="2:48" ht="19.5" thickBot="1" x14ac:dyDescent="0.3">
      <c r="B29" s="41"/>
      <c r="C29" s="41"/>
      <c r="D29" s="11"/>
      <c r="E29" s="11"/>
      <c r="F29" s="11">
        <f t="shared" si="1"/>
        <v>0</v>
      </c>
      <c r="G29" s="42"/>
      <c r="H29" s="5" t="s">
        <v>29</v>
      </c>
      <c r="I29" s="15">
        <f>INDEX(Base_bromato!$C$68:$L$104,MATCH(Formular!H29,Base_bromato!$B$68:$B$104,0),MATCH(Formular!$E$3,Base_bromato!$C$67:$L$67,0))</f>
        <v>15</v>
      </c>
      <c r="J29" s="16" t="str">
        <f t="shared" ca="1" si="0"/>
        <v/>
      </c>
      <c r="K29" s="6"/>
      <c r="L29">
        <f>+SUM(L5:L28)</f>
        <v>0</v>
      </c>
      <c r="M29">
        <f t="shared" ref="M29:AV29" si="2">+SUM(M5:M28)</f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  <c r="X29">
        <f t="shared" si="2"/>
        <v>0</v>
      </c>
      <c r="Y29">
        <f t="shared" si="2"/>
        <v>0</v>
      </c>
      <c r="Z29">
        <f t="shared" si="2"/>
        <v>0</v>
      </c>
      <c r="AA29">
        <f t="shared" si="2"/>
        <v>0</v>
      </c>
      <c r="AB29">
        <f t="shared" si="2"/>
        <v>0</v>
      </c>
      <c r="AC29">
        <f t="shared" si="2"/>
        <v>0</v>
      </c>
      <c r="AD29">
        <f t="shared" si="2"/>
        <v>0</v>
      </c>
      <c r="AE29">
        <f t="shared" si="2"/>
        <v>0</v>
      </c>
      <c r="AF29">
        <f t="shared" si="2"/>
        <v>0</v>
      </c>
      <c r="AG29">
        <f t="shared" si="2"/>
        <v>0</v>
      </c>
      <c r="AH29">
        <f t="shared" si="2"/>
        <v>0</v>
      </c>
      <c r="AI29">
        <f t="shared" si="2"/>
        <v>0</v>
      </c>
      <c r="AJ29">
        <f t="shared" si="2"/>
        <v>0</v>
      </c>
      <c r="AK29">
        <f t="shared" si="2"/>
        <v>0</v>
      </c>
      <c r="AL29">
        <f t="shared" si="2"/>
        <v>0</v>
      </c>
      <c r="AM29">
        <f t="shared" si="2"/>
        <v>0</v>
      </c>
      <c r="AN29">
        <f t="shared" si="2"/>
        <v>0</v>
      </c>
      <c r="AO29">
        <f t="shared" si="2"/>
        <v>0</v>
      </c>
      <c r="AP29">
        <f t="shared" si="2"/>
        <v>0</v>
      </c>
      <c r="AQ29">
        <f t="shared" si="2"/>
        <v>0</v>
      </c>
      <c r="AR29">
        <f t="shared" si="2"/>
        <v>0</v>
      </c>
      <c r="AS29">
        <f t="shared" si="2"/>
        <v>0</v>
      </c>
      <c r="AT29">
        <f t="shared" si="2"/>
        <v>0</v>
      </c>
      <c r="AU29">
        <f t="shared" si="2"/>
        <v>0</v>
      </c>
      <c r="AV29">
        <f t="shared" si="2"/>
        <v>0</v>
      </c>
    </row>
    <row r="30" spans="2:48" ht="19.5" thickBot="1" x14ac:dyDescent="0.3">
      <c r="B30" s="40" t="s">
        <v>42</v>
      </c>
      <c r="C30" s="40"/>
      <c r="D30" s="12">
        <f>SUM(D6:D29)</f>
        <v>0</v>
      </c>
      <c r="E30" s="12" t="e">
        <f>+F30/D30</f>
        <v>#DIV/0!</v>
      </c>
      <c r="F30" s="12">
        <f>SUM(F6:F29)</f>
        <v>0</v>
      </c>
      <c r="G30" s="42"/>
      <c r="H30" s="5" t="s">
        <v>31</v>
      </c>
      <c r="I30" s="15">
        <f>INDEX(Base_bromato!$C$68:$L$104,MATCH(Formular!H30,Base_bromato!$B$68:$B$104,0),MATCH(Formular!$E$3,Base_bromato!$C$67:$L$67,0))</f>
        <v>2</v>
      </c>
      <c r="J30" s="16" t="str">
        <f ca="1">IF(SUM(OFFSET($L$5,0,ROW()-5,15,1))=0,"",SUM(OFFSET($L$5,0,ROW()-5,15,1)))</f>
        <v/>
      </c>
      <c r="K30" s="6"/>
    </row>
    <row r="31" spans="2:48" ht="15.75" thickBot="1" x14ac:dyDescent="0.3">
      <c r="H31" s="8" t="s">
        <v>15</v>
      </c>
      <c r="I31" s="15">
        <f>INDEX(Base_bromato!$C$68:$L$104,MATCH(Formular!H31,Base_bromato!$B$68:$B$104,0),MATCH(Formular!$E$3,Base_bromato!$C$67:$L$67,0))</f>
        <v>900</v>
      </c>
      <c r="J31" s="16" t="str">
        <f t="shared" ca="1" si="0"/>
        <v/>
      </c>
      <c r="K31" s="9"/>
    </row>
    <row r="32" spans="2:48" ht="15.75" thickBot="1" x14ac:dyDescent="0.3">
      <c r="H32" s="5" t="s">
        <v>16</v>
      </c>
      <c r="I32" s="15">
        <f>INDEX(Base_bromato!$C$68:$L$104,MATCH(Formular!H32,Base_bromato!$B$68:$B$104,0),MATCH(Formular!$E$3,Base_bromato!$C$67:$L$67,0))</f>
        <v>0.6</v>
      </c>
      <c r="J32" s="16" t="str">
        <f t="shared" ca="1" si="0"/>
        <v/>
      </c>
      <c r="K32" s="6"/>
    </row>
    <row r="33" spans="8:11" ht="15.75" thickBot="1" x14ac:dyDescent="0.3">
      <c r="H33" s="5" t="s">
        <v>24</v>
      </c>
      <c r="I33" s="15">
        <f>INDEX(Base_bromato!$C$68:$L$104,MATCH(Formular!H33,Base_bromato!$B$68:$B$104,0),MATCH(Formular!$E$3,Base_bromato!$C$67:$L$67,0))</f>
        <v>25</v>
      </c>
      <c r="J33" s="16" t="str">
        <f t="shared" ca="1" si="0"/>
        <v/>
      </c>
      <c r="K33" s="6"/>
    </row>
    <row r="34" spans="8:11" ht="15.75" thickBot="1" x14ac:dyDescent="0.3">
      <c r="H34" s="5" t="s">
        <v>20</v>
      </c>
      <c r="I34" s="15">
        <f>INDEX(Base_bromato!$C$68:$L$104,MATCH(Formular!H34,Base_bromato!$B$68:$B$104,0),MATCH(Formular!$E$3,Base_bromato!$C$67:$L$67,0))</f>
        <v>8</v>
      </c>
      <c r="J34" s="16" t="str">
        <f t="shared" ca="1" si="0"/>
        <v/>
      </c>
      <c r="K34" s="6"/>
    </row>
    <row r="35" spans="8:11" ht="15.75" thickBot="1" x14ac:dyDescent="0.3">
      <c r="H35" s="5" t="s">
        <v>21</v>
      </c>
      <c r="I35" s="15">
        <f>INDEX(Base_bromato!$C$68:$L$104,MATCH(Formular!H35,Base_bromato!$B$68:$B$104,0),MATCH(Formular!$E$3,Base_bromato!$C$67:$L$67,0))</f>
        <v>60</v>
      </c>
      <c r="J35" s="16" t="str">
        <f t="shared" ca="1" si="0"/>
        <v/>
      </c>
      <c r="K35" s="6"/>
    </row>
    <row r="36" spans="8:11" ht="15.75" thickBot="1" x14ac:dyDescent="0.3">
      <c r="H36" s="5" t="s">
        <v>22</v>
      </c>
      <c r="I36" s="15">
        <f>INDEX(Base_bromato!$C$68:$L$104,MATCH(Formular!H36,Base_bromato!$B$68:$B$104,0),MATCH(Formular!$E$3,Base_bromato!$C$67:$L$67,0))</f>
        <v>50</v>
      </c>
      <c r="J36" s="16" t="str">
        <f t="shared" ca="1" si="0"/>
        <v/>
      </c>
      <c r="K36" s="6"/>
    </row>
    <row r="37" spans="8:11" ht="15.75" thickBot="1" x14ac:dyDescent="0.3">
      <c r="H37" s="5" t="s">
        <v>23</v>
      </c>
      <c r="I37" s="15">
        <f>INDEX(Base_bromato!$C$68:$L$104,MATCH(Formular!H37,Base_bromato!$B$68:$B$104,0),MATCH(Formular!$E$3,Base_bromato!$C$67:$L$67,0))</f>
        <v>6</v>
      </c>
      <c r="J37" s="16" t="str">
        <f t="shared" ca="1" si="0"/>
        <v/>
      </c>
      <c r="K37" s="6"/>
    </row>
    <row r="38" spans="8:11" ht="15.75" thickBot="1" x14ac:dyDescent="0.3">
      <c r="H38" s="5" t="s">
        <v>17</v>
      </c>
      <c r="I38" s="15">
        <f>INDEX(Base_bromato!$C$68:$L$104,MATCH(Formular!H38,Base_bromato!$B$68:$B$104,0),MATCH(Formular!$E$3,Base_bromato!$C$67:$L$67,0))</f>
        <v>50</v>
      </c>
      <c r="J38" s="16" t="str">
        <f t="shared" ca="1" si="0"/>
        <v/>
      </c>
      <c r="K38" s="6"/>
    </row>
    <row r="39" spans="8:11" ht="15.75" thickBot="1" x14ac:dyDescent="0.3">
      <c r="H39" s="5" t="s">
        <v>18</v>
      </c>
      <c r="I39" s="15">
        <f>INDEX(Base_bromato!$C$68:$L$104,MATCH(Formular!H39,Base_bromato!$B$68:$B$104,0),MATCH(Formular!$E$3,Base_bromato!$C$67:$L$67,0))</f>
        <v>0.6</v>
      </c>
      <c r="J39" s="16" t="str">
        <f t="shared" ca="1" si="0"/>
        <v/>
      </c>
      <c r="K39" s="6"/>
    </row>
    <row r="40" spans="8:11" ht="15.75" thickBot="1" x14ac:dyDescent="0.3">
      <c r="H40" s="5" t="s">
        <v>19</v>
      </c>
      <c r="I40" s="15">
        <f>INDEX(Base_bromato!$C$68:$L$104,MATCH(Formular!H40,Base_bromato!$B$68:$B$104,0),MATCH(Formular!$E$3,Base_bromato!$C$67:$L$67,0))</f>
        <v>0.15</v>
      </c>
      <c r="J40" s="16" t="str">
        <f t="shared" ca="1" si="0"/>
        <v/>
      </c>
      <c r="K40" s="6"/>
    </row>
    <row r="41" spans="8:11" ht="15.75" thickBot="1" x14ac:dyDescent="0.3">
      <c r="H41" s="5" t="s">
        <v>48</v>
      </c>
      <c r="I41" s="15">
        <f>INDEX(Base_bromato!$C$68:$L$104,MATCH(Formular!H41,Base_bromato!$B$68:$B$104,0),MATCH(Formular!$E$3,Base_bromato!$C$67:$L$67,0))</f>
        <v>0.2</v>
      </c>
      <c r="J41" s="16" t="str">
        <f t="shared" ca="1" si="0"/>
        <v/>
      </c>
      <c r="K41" s="6"/>
    </row>
  </sheetData>
  <mergeCells count="31">
    <mergeCell ref="B5:C5"/>
    <mergeCell ref="B6:C6"/>
    <mergeCell ref="B24:C24"/>
    <mergeCell ref="B15:C15"/>
    <mergeCell ref="B17:C17"/>
    <mergeCell ref="B18:C18"/>
    <mergeCell ref="B9:C9"/>
    <mergeCell ref="B10:C10"/>
    <mergeCell ref="B13:C13"/>
    <mergeCell ref="B14:C14"/>
    <mergeCell ref="B16:C16"/>
    <mergeCell ref="B7:C7"/>
    <mergeCell ref="B21:C21"/>
    <mergeCell ref="B22:C22"/>
    <mergeCell ref="B23:C23"/>
    <mergeCell ref="B2:K2"/>
    <mergeCell ref="H4:K4"/>
    <mergeCell ref="B3:D4"/>
    <mergeCell ref="E3:F4"/>
    <mergeCell ref="B30:C30"/>
    <mergeCell ref="B8:C8"/>
    <mergeCell ref="B11:C11"/>
    <mergeCell ref="B12:C12"/>
    <mergeCell ref="B19:C19"/>
    <mergeCell ref="B29:C29"/>
    <mergeCell ref="G3:G30"/>
    <mergeCell ref="B25:C25"/>
    <mergeCell ref="B26:C26"/>
    <mergeCell ref="B27:C27"/>
    <mergeCell ref="B28:C28"/>
    <mergeCell ref="B20:C20"/>
  </mergeCells>
  <pageMargins left="0.7" right="0.7" top="0.75" bottom="0.75" header="0.3" footer="0.3"/>
  <pageSetup paperSize="9" orientation="portrait" verticalDpi="0" r:id="rId1"/>
  <ignoredErrors>
    <ignoredError sqref="E30" 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Base_bromato!$J$38:$J$65</xm:f>
          </x14:formula1>
          <xm:sqref>B6:C29</xm:sqref>
        </x14:dataValidation>
        <x14:dataValidation type="list" allowBlank="1" showInputMessage="1" showErrorMessage="1">
          <x14:formula1>
            <xm:f>Base_bromato!$K$38:$K$47</xm:f>
          </x14:formula1>
          <xm:sqref>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4"/>
  <sheetViews>
    <sheetView topLeftCell="A14" zoomScale="73" zoomScaleNormal="73" workbookViewId="0">
      <selection activeCell="M32" sqref="M32"/>
    </sheetView>
  </sheetViews>
  <sheetFormatPr baseColWidth="10" defaultRowHeight="15" x14ac:dyDescent="0.25"/>
  <cols>
    <col min="1" max="1" width="24.140625" customWidth="1"/>
    <col min="2" max="2" width="18.28515625" customWidth="1"/>
    <col min="3" max="3" width="16.5703125" customWidth="1"/>
    <col min="4" max="5" width="15.5703125" customWidth="1"/>
    <col min="6" max="6" width="16.42578125" customWidth="1"/>
    <col min="7" max="7" width="12.42578125" customWidth="1"/>
    <col min="17" max="17" width="11.42578125" style="27"/>
    <col min="30" max="30" width="11.42578125" style="27"/>
  </cols>
  <sheetData>
    <row r="1" spans="1:42" ht="16.5" x14ac:dyDescent="0.25">
      <c r="A1" s="44" t="s">
        <v>38</v>
      </c>
      <c r="B1" s="44"/>
      <c r="C1" s="4" t="s">
        <v>2</v>
      </c>
      <c r="D1" s="3" t="s">
        <v>45</v>
      </c>
      <c r="E1" s="3" t="s">
        <v>46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8</v>
      </c>
      <c r="K1" s="4" t="s">
        <v>7</v>
      </c>
      <c r="L1" s="4" t="s">
        <v>10</v>
      </c>
      <c r="M1" s="4" t="s">
        <v>9</v>
      </c>
      <c r="N1" s="4" t="s">
        <v>11</v>
      </c>
      <c r="O1" s="4" t="s">
        <v>12</v>
      </c>
      <c r="P1" s="4" t="s">
        <v>40</v>
      </c>
      <c r="Q1" s="21" t="s">
        <v>43</v>
      </c>
      <c r="R1" s="4" t="s">
        <v>13</v>
      </c>
      <c r="S1" s="4" t="s">
        <v>44</v>
      </c>
      <c r="T1" s="4" t="s">
        <v>14</v>
      </c>
      <c r="U1" s="4" t="s">
        <v>32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30</v>
      </c>
      <c r="AA1" s="4" t="s">
        <v>29</v>
      </c>
      <c r="AB1" s="4" t="s">
        <v>31</v>
      </c>
      <c r="AC1" s="4" t="s">
        <v>15</v>
      </c>
      <c r="AD1" s="21" t="s">
        <v>16</v>
      </c>
      <c r="AE1" s="4" t="s">
        <v>24</v>
      </c>
      <c r="AF1" s="4" t="s">
        <v>20</v>
      </c>
      <c r="AG1" s="4" t="s">
        <v>21</v>
      </c>
      <c r="AH1" s="4" t="s">
        <v>22</v>
      </c>
      <c r="AI1" s="4" t="s">
        <v>23</v>
      </c>
      <c r="AJ1" s="4" t="s">
        <v>17</v>
      </c>
      <c r="AK1" s="4" t="s">
        <v>18</v>
      </c>
      <c r="AL1" s="4" t="s">
        <v>19</v>
      </c>
      <c r="AM1" s="4" t="s">
        <v>48</v>
      </c>
    </row>
    <row r="2" spans="1:42" ht="18.75" x14ac:dyDescent="0.25">
      <c r="A2" t="s">
        <v>49</v>
      </c>
      <c r="C2" s="1">
        <v>3300</v>
      </c>
      <c r="D2" s="24">
        <v>2.2000000000000002</v>
      </c>
      <c r="E2" s="23">
        <v>4.2</v>
      </c>
      <c r="F2" s="23">
        <v>7.5</v>
      </c>
      <c r="G2" s="23">
        <v>0.23</v>
      </c>
      <c r="H2" s="23">
        <v>0.16</v>
      </c>
      <c r="I2" s="23">
        <v>0.33</v>
      </c>
      <c r="J2" s="23">
        <v>0.27</v>
      </c>
      <c r="K2" s="23">
        <v>7.0000000000000007E-2</v>
      </c>
      <c r="L2" s="23">
        <v>0.02</v>
      </c>
      <c r="M2" s="23">
        <v>0.1</v>
      </c>
      <c r="N2" s="23">
        <v>0.01</v>
      </c>
      <c r="O2" s="23">
        <v>0.4</v>
      </c>
      <c r="P2" s="23">
        <v>0.04</v>
      </c>
      <c r="Q2" s="28">
        <v>0.42</v>
      </c>
      <c r="R2" s="23">
        <v>0.3</v>
      </c>
      <c r="S2" s="1">
        <v>0.35</v>
      </c>
      <c r="T2" s="23">
        <v>1.9</v>
      </c>
      <c r="U2" s="1">
        <v>0</v>
      </c>
      <c r="V2" s="23">
        <v>1.8</v>
      </c>
      <c r="W2" s="23">
        <v>0.7</v>
      </c>
      <c r="X2" s="23">
        <v>2.2999999999999998</v>
      </c>
      <c r="Y2" s="1">
        <v>0</v>
      </c>
      <c r="Z2" s="1">
        <v>0</v>
      </c>
      <c r="AA2" s="23">
        <v>8.5500000000000007</v>
      </c>
      <c r="AB2" s="23">
        <v>0.15</v>
      </c>
      <c r="AC2" s="1">
        <v>620</v>
      </c>
      <c r="AD2" s="28">
        <v>0.3</v>
      </c>
      <c r="AE2" s="1">
        <v>20</v>
      </c>
      <c r="AF2" s="23">
        <v>5.5</v>
      </c>
      <c r="AG2" s="23">
        <v>7</v>
      </c>
      <c r="AH2" s="1">
        <v>20</v>
      </c>
      <c r="AI2" s="23">
        <v>3.5</v>
      </c>
      <c r="AJ2" s="1">
        <v>35</v>
      </c>
      <c r="AK2" s="23">
        <v>0.05</v>
      </c>
      <c r="AL2" s="23">
        <v>0.06</v>
      </c>
      <c r="AM2" s="23">
        <v>0.05</v>
      </c>
      <c r="AP2" s="1"/>
    </row>
    <row r="3" spans="1:42" ht="18.75" x14ac:dyDescent="0.25">
      <c r="A3" t="s">
        <v>50</v>
      </c>
      <c r="C3" s="1">
        <v>2228</v>
      </c>
      <c r="D3" s="23">
        <v>9</v>
      </c>
      <c r="E3" s="23">
        <v>4.5</v>
      </c>
      <c r="F3" s="23">
        <v>10.1</v>
      </c>
      <c r="G3" s="23">
        <v>0.25</v>
      </c>
      <c r="H3" s="23">
        <v>0.15</v>
      </c>
      <c r="I3" s="23">
        <v>0.36</v>
      </c>
      <c r="J3" s="23">
        <v>0.35</v>
      </c>
      <c r="K3" s="23">
        <v>0.08</v>
      </c>
      <c r="L3" s="23">
        <v>0.03</v>
      </c>
      <c r="M3" s="23">
        <v>0.08</v>
      </c>
      <c r="N3" s="23">
        <v>0.02</v>
      </c>
      <c r="O3" s="23">
        <v>0.45</v>
      </c>
      <c r="P3" s="23">
        <v>0.05</v>
      </c>
      <c r="Q3" s="28">
        <v>0.6</v>
      </c>
      <c r="R3" s="23">
        <v>0.35</v>
      </c>
      <c r="S3" s="1">
        <v>0.6</v>
      </c>
      <c r="T3" s="23">
        <v>0.85</v>
      </c>
      <c r="U3" s="1">
        <v>0</v>
      </c>
      <c r="V3" s="23">
        <v>4.5</v>
      </c>
      <c r="W3" s="23">
        <v>1.1000000000000001</v>
      </c>
      <c r="X3" s="23">
        <v>5.5</v>
      </c>
      <c r="Y3" s="1">
        <v>0</v>
      </c>
      <c r="Z3" s="1">
        <v>0</v>
      </c>
      <c r="AA3" s="1">
        <v>15</v>
      </c>
      <c r="AB3" s="23">
        <v>0.2</v>
      </c>
      <c r="AC3" s="1">
        <v>850</v>
      </c>
      <c r="AD3" s="28">
        <v>0.3</v>
      </c>
      <c r="AE3" s="1">
        <v>35</v>
      </c>
      <c r="AF3" s="23">
        <v>8</v>
      </c>
      <c r="AG3" s="1">
        <v>15</v>
      </c>
      <c r="AH3" s="1">
        <v>45</v>
      </c>
      <c r="AI3" s="23">
        <v>6</v>
      </c>
      <c r="AJ3" s="1">
        <v>80</v>
      </c>
      <c r="AK3" s="23">
        <v>0.08</v>
      </c>
      <c r="AL3" s="23">
        <v>0.1</v>
      </c>
      <c r="AM3" s="23">
        <v>0.08</v>
      </c>
      <c r="AP3" s="1"/>
    </row>
    <row r="4" spans="1:42" ht="18.75" x14ac:dyDescent="0.25">
      <c r="A4" t="s">
        <v>51</v>
      </c>
      <c r="C4" s="1">
        <v>2800</v>
      </c>
      <c r="D4" s="23">
        <v>3</v>
      </c>
      <c r="E4" s="23">
        <v>4</v>
      </c>
      <c r="F4" s="23">
        <v>11</v>
      </c>
      <c r="G4" s="23">
        <v>0.25</v>
      </c>
      <c r="H4" s="23">
        <v>0.2</v>
      </c>
      <c r="I4" s="23">
        <v>0.38</v>
      </c>
      <c r="J4" s="23">
        <v>0.38</v>
      </c>
      <c r="K4" s="23">
        <v>0.18</v>
      </c>
      <c r="L4" s="23">
        <v>0.05</v>
      </c>
      <c r="M4" s="23">
        <v>0.28000000000000003</v>
      </c>
      <c r="N4" s="23">
        <v>0.01</v>
      </c>
      <c r="O4" s="23">
        <v>0.5</v>
      </c>
      <c r="P4" s="23">
        <v>0.04</v>
      </c>
      <c r="Q4" s="28">
        <v>0.5</v>
      </c>
      <c r="R4" s="23">
        <v>0.45</v>
      </c>
      <c r="S4" s="1">
        <v>0.42</v>
      </c>
      <c r="T4" s="23">
        <v>1.1000000000000001</v>
      </c>
      <c r="U4" s="1">
        <v>0</v>
      </c>
      <c r="V4" s="23">
        <v>3.8</v>
      </c>
      <c r="W4" s="23">
        <v>1.8</v>
      </c>
      <c r="X4" s="23">
        <v>3.9</v>
      </c>
      <c r="Y4" s="1">
        <v>0</v>
      </c>
      <c r="Z4" s="1">
        <v>0</v>
      </c>
      <c r="AA4" s="23">
        <v>4.5</v>
      </c>
      <c r="AB4" s="23">
        <v>0.1</v>
      </c>
      <c r="AC4" s="1">
        <v>780</v>
      </c>
      <c r="AD4" s="28">
        <v>0.25</v>
      </c>
      <c r="AE4" s="1">
        <v>25</v>
      </c>
      <c r="AF4" s="23">
        <v>7.5</v>
      </c>
      <c r="AG4" s="1">
        <v>12</v>
      </c>
      <c r="AH4" s="1">
        <v>28</v>
      </c>
      <c r="AI4" s="23">
        <v>5</v>
      </c>
      <c r="AJ4" s="1">
        <v>70</v>
      </c>
      <c r="AK4" s="23">
        <v>0.06</v>
      </c>
      <c r="AL4" s="23">
        <v>0.08</v>
      </c>
      <c r="AM4" s="23">
        <v>0.06</v>
      </c>
      <c r="AP4" s="1"/>
    </row>
    <row r="5" spans="1:42" ht="18.75" x14ac:dyDescent="0.25">
      <c r="A5" t="s">
        <v>262</v>
      </c>
      <c r="C5" s="1">
        <v>2850</v>
      </c>
      <c r="D5" s="23">
        <v>12.5</v>
      </c>
      <c r="E5" s="23">
        <v>13.5</v>
      </c>
      <c r="F5" s="23">
        <v>13.5</v>
      </c>
      <c r="G5" s="23">
        <v>0.61</v>
      </c>
      <c r="H5" s="23">
        <v>0.26</v>
      </c>
      <c r="I5" s="23">
        <v>0.42</v>
      </c>
      <c r="J5" s="23">
        <v>0.5</v>
      </c>
      <c r="K5" s="23">
        <v>0.17</v>
      </c>
      <c r="L5" s="23">
        <v>7.0000000000000007E-2</v>
      </c>
      <c r="M5" s="23">
        <v>1.4</v>
      </c>
      <c r="N5" s="23">
        <v>0.05</v>
      </c>
      <c r="O5" s="23">
        <v>0.71</v>
      </c>
      <c r="P5" s="23">
        <v>0.08</v>
      </c>
      <c r="Q5" s="28">
        <v>1.05</v>
      </c>
      <c r="R5" s="23">
        <v>0.46</v>
      </c>
      <c r="S5" s="1">
        <v>1.1499999999999999</v>
      </c>
      <c r="T5" s="23"/>
      <c r="U5" s="1"/>
      <c r="V5" s="23"/>
      <c r="W5" s="23"/>
      <c r="X5" s="23"/>
      <c r="Y5" s="1"/>
      <c r="Z5" s="1"/>
      <c r="AA5" s="23"/>
      <c r="AB5" s="23"/>
      <c r="AC5" s="1"/>
      <c r="AE5" s="1"/>
      <c r="AG5" s="23">
        <v>110</v>
      </c>
      <c r="AH5" s="1">
        <v>60</v>
      </c>
      <c r="AI5" s="28">
        <v>12</v>
      </c>
      <c r="AJ5" s="1">
        <v>180</v>
      </c>
      <c r="AK5" s="23">
        <v>0.3</v>
      </c>
      <c r="AL5" s="23">
        <v>0.35</v>
      </c>
      <c r="AM5" s="23">
        <v>0.15</v>
      </c>
      <c r="AP5" s="1"/>
    </row>
    <row r="6" spans="1:42" ht="18.75" x14ac:dyDescent="0.25">
      <c r="A6" t="s">
        <v>52</v>
      </c>
      <c r="C6" s="2">
        <v>3175</v>
      </c>
      <c r="D6" s="23">
        <v>2.5</v>
      </c>
      <c r="E6" s="23">
        <v>3</v>
      </c>
      <c r="F6" s="23">
        <v>9</v>
      </c>
      <c r="G6" s="23">
        <v>0.24</v>
      </c>
      <c r="H6" s="23">
        <v>0.16</v>
      </c>
      <c r="I6" s="23">
        <v>0.34</v>
      </c>
      <c r="J6" s="23">
        <v>0.3</v>
      </c>
      <c r="K6" s="23">
        <v>0.1</v>
      </c>
      <c r="L6" s="23">
        <v>0.04</v>
      </c>
      <c r="M6" s="23">
        <v>0.1</v>
      </c>
      <c r="N6" s="23">
        <v>0.01</v>
      </c>
      <c r="O6" s="23">
        <v>0.45</v>
      </c>
      <c r="P6" s="23">
        <v>0.05</v>
      </c>
      <c r="Q6" s="28">
        <v>0.38</v>
      </c>
      <c r="R6" s="25">
        <v>0.35</v>
      </c>
      <c r="S6" s="2">
        <v>0.38</v>
      </c>
      <c r="T6" s="25">
        <v>1</v>
      </c>
      <c r="U6" s="2">
        <v>0</v>
      </c>
      <c r="V6" s="25">
        <v>3.9</v>
      </c>
      <c r="W6" s="25">
        <v>1.3</v>
      </c>
      <c r="X6" s="25">
        <v>3.2</v>
      </c>
      <c r="Y6" s="2">
        <v>0</v>
      </c>
      <c r="Z6" s="2">
        <v>0</v>
      </c>
      <c r="AA6" s="25">
        <v>7.5</v>
      </c>
      <c r="AB6" s="25">
        <v>0.12</v>
      </c>
      <c r="AC6" s="2">
        <v>700</v>
      </c>
      <c r="AD6" s="29">
        <v>0.28000000000000003</v>
      </c>
      <c r="AE6" s="2">
        <v>38</v>
      </c>
      <c r="AF6" s="25">
        <v>8.5</v>
      </c>
      <c r="AG6" s="2">
        <v>15</v>
      </c>
      <c r="AH6" s="2">
        <v>25</v>
      </c>
      <c r="AI6" s="25">
        <v>8</v>
      </c>
      <c r="AJ6" s="2">
        <v>85</v>
      </c>
      <c r="AK6" s="25">
        <v>7.0000000000000007E-2</v>
      </c>
      <c r="AL6" s="25">
        <v>0.15</v>
      </c>
      <c r="AM6" s="23">
        <v>7.0000000000000007E-2</v>
      </c>
      <c r="AP6" s="2"/>
    </row>
    <row r="7" spans="1:42" ht="18.75" x14ac:dyDescent="0.25">
      <c r="A7" s="27" t="s">
        <v>53</v>
      </c>
      <c r="C7" s="1">
        <v>1800</v>
      </c>
      <c r="D7" s="23">
        <v>8.5</v>
      </c>
      <c r="E7" s="23">
        <v>4.2</v>
      </c>
      <c r="F7" s="23">
        <v>15.5</v>
      </c>
      <c r="G7" s="23">
        <v>0.55000000000000004</v>
      </c>
      <c r="H7" s="23">
        <v>0.22</v>
      </c>
      <c r="I7" s="25">
        <v>0.48</v>
      </c>
      <c r="J7" s="25">
        <v>0.5</v>
      </c>
      <c r="K7" s="25">
        <v>0.22</v>
      </c>
      <c r="L7" s="23">
        <v>0.12</v>
      </c>
      <c r="M7" s="23">
        <v>0.35</v>
      </c>
      <c r="N7" s="25">
        <v>0.04</v>
      </c>
      <c r="O7" s="23">
        <v>0.7</v>
      </c>
      <c r="P7" s="23">
        <v>0.06</v>
      </c>
      <c r="Q7" s="28">
        <v>0.95</v>
      </c>
      <c r="R7" s="23">
        <v>0.6</v>
      </c>
      <c r="S7" s="1">
        <v>1.1499999999999999</v>
      </c>
      <c r="T7" s="23">
        <v>0.65</v>
      </c>
      <c r="U7" s="1">
        <v>0</v>
      </c>
      <c r="V7" s="23">
        <v>8</v>
      </c>
      <c r="W7" s="23">
        <v>3</v>
      </c>
      <c r="X7" s="23">
        <v>6.8</v>
      </c>
      <c r="Y7" s="1">
        <v>0</v>
      </c>
      <c r="Z7" s="1">
        <v>0</v>
      </c>
      <c r="AA7" s="1">
        <v>20</v>
      </c>
      <c r="AB7" s="23">
        <v>0.3</v>
      </c>
      <c r="AC7" s="1">
        <v>1100</v>
      </c>
      <c r="AD7" s="28">
        <v>0.75</v>
      </c>
      <c r="AE7" s="1">
        <v>180</v>
      </c>
      <c r="AF7" s="1">
        <v>22</v>
      </c>
      <c r="AG7" s="1">
        <v>110</v>
      </c>
      <c r="AH7" s="1">
        <v>90</v>
      </c>
      <c r="AI7" s="1">
        <v>12</v>
      </c>
      <c r="AJ7" s="1">
        <v>180</v>
      </c>
      <c r="AK7" s="23">
        <v>0.15</v>
      </c>
      <c r="AL7" s="23">
        <v>0.35</v>
      </c>
      <c r="AM7" s="23">
        <v>0.12</v>
      </c>
      <c r="AP7" s="1"/>
    </row>
    <row r="8" spans="1:42" ht="18.75" x14ac:dyDescent="0.25">
      <c r="A8" s="22" t="s">
        <v>33</v>
      </c>
      <c r="C8" s="1">
        <v>1440</v>
      </c>
      <c r="D8" s="23">
        <v>9.6</v>
      </c>
      <c r="E8" s="23">
        <v>4.5</v>
      </c>
      <c r="F8" s="23">
        <v>16</v>
      </c>
      <c r="G8" s="23">
        <v>0.57999999999999996</v>
      </c>
      <c r="H8" s="23">
        <v>0.23</v>
      </c>
      <c r="I8" s="25">
        <v>0.45</v>
      </c>
      <c r="J8" s="25">
        <v>0.48</v>
      </c>
      <c r="K8" s="25">
        <v>0.2</v>
      </c>
      <c r="L8" s="23">
        <v>0.14000000000000001</v>
      </c>
      <c r="M8" s="23">
        <v>0.4</v>
      </c>
      <c r="N8" s="25">
        <v>0.05</v>
      </c>
      <c r="O8" s="23">
        <v>0.65</v>
      </c>
      <c r="P8" s="23">
        <v>7.0000000000000007E-2</v>
      </c>
      <c r="Q8" s="28">
        <v>1</v>
      </c>
      <c r="R8" s="23">
        <v>0.65</v>
      </c>
      <c r="S8" s="1">
        <v>1.18</v>
      </c>
      <c r="T8" s="23">
        <v>0.7</v>
      </c>
      <c r="U8" s="1">
        <v>0</v>
      </c>
      <c r="V8" s="23">
        <v>8.5</v>
      </c>
      <c r="W8" s="23">
        <v>3.5</v>
      </c>
      <c r="X8" s="23">
        <v>7.2</v>
      </c>
      <c r="Y8" s="1">
        <v>0</v>
      </c>
      <c r="Z8" s="1">
        <v>0</v>
      </c>
      <c r="AA8" s="1">
        <v>22</v>
      </c>
      <c r="AB8" s="23">
        <v>0.35</v>
      </c>
      <c r="AC8" s="1">
        <v>1250</v>
      </c>
      <c r="AD8" s="28">
        <v>0.9</v>
      </c>
      <c r="AE8" s="1">
        <v>195</v>
      </c>
      <c r="AF8" s="1">
        <v>25</v>
      </c>
      <c r="AG8" s="1">
        <v>115</v>
      </c>
      <c r="AH8" s="1">
        <v>95</v>
      </c>
      <c r="AI8" s="1">
        <v>13</v>
      </c>
      <c r="AJ8" s="1">
        <v>190</v>
      </c>
      <c r="AK8" s="23">
        <v>0.16</v>
      </c>
      <c r="AL8" s="23">
        <v>0.38</v>
      </c>
      <c r="AM8" s="23">
        <v>0.13</v>
      </c>
      <c r="AP8" s="1"/>
    </row>
    <row r="9" spans="1:42" ht="18.75" x14ac:dyDescent="0.25">
      <c r="A9" t="s">
        <v>62</v>
      </c>
      <c r="C9" s="1">
        <v>2800</v>
      </c>
      <c r="D9" s="1">
        <v>2.4</v>
      </c>
      <c r="E9" s="1">
        <v>5.3</v>
      </c>
      <c r="F9" s="1">
        <v>31.2</v>
      </c>
      <c r="G9" s="1">
        <v>4.4000000000000004</v>
      </c>
      <c r="H9" s="1">
        <v>3.5</v>
      </c>
      <c r="I9" s="1">
        <v>4.2</v>
      </c>
      <c r="J9" s="1">
        <v>0</v>
      </c>
      <c r="K9" s="1">
        <v>0</v>
      </c>
      <c r="L9" s="1">
        <v>10.199999999999999</v>
      </c>
      <c r="M9" s="1">
        <v>4.5999999999999996</v>
      </c>
      <c r="N9" s="1">
        <v>2.9</v>
      </c>
      <c r="O9" s="1">
        <v>0</v>
      </c>
      <c r="P9" s="1">
        <v>0</v>
      </c>
      <c r="Q9" s="19">
        <v>0</v>
      </c>
      <c r="R9" s="23">
        <v>1.4</v>
      </c>
      <c r="S9" s="1">
        <v>0.7</v>
      </c>
      <c r="T9" s="23">
        <v>0.4</v>
      </c>
      <c r="U9" s="1">
        <v>200000</v>
      </c>
      <c r="V9" s="1">
        <v>20</v>
      </c>
      <c r="W9" s="1">
        <v>80</v>
      </c>
      <c r="X9" s="1">
        <v>30</v>
      </c>
      <c r="Y9" s="23">
        <v>0.25</v>
      </c>
      <c r="Z9" s="1">
        <v>40000</v>
      </c>
      <c r="AA9" s="1">
        <v>400</v>
      </c>
      <c r="AB9" s="1">
        <v>20</v>
      </c>
      <c r="AC9" s="1">
        <v>6000</v>
      </c>
      <c r="AD9" s="19">
        <v>12</v>
      </c>
      <c r="AE9" s="1">
        <v>450</v>
      </c>
      <c r="AF9" s="1">
        <v>180</v>
      </c>
      <c r="AG9" s="1">
        <v>1600</v>
      </c>
      <c r="AH9" s="1">
        <v>1500</v>
      </c>
      <c r="AI9" s="1">
        <v>300</v>
      </c>
      <c r="AJ9" s="1">
        <v>1000</v>
      </c>
      <c r="AK9" s="1">
        <v>25</v>
      </c>
      <c r="AL9" s="23">
        <v>5</v>
      </c>
      <c r="AM9" s="23">
        <v>8</v>
      </c>
      <c r="AP9" s="1"/>
    </row>
    <row r="10" spans="1:42" ht="18.75" x14ac:dyDescent="0.25">
      <c r="A10" t="s">
        <v>63</v>
      </c>
      <c r="C10" s="1">
        <v>2590</v>
      </c>
      <c r="D10" s="1">
        <v>2.4</v>
      </c>
      <c r="E10" s="1">
        <v>4.3</v>
      </c>
      <c r="F10" s="1">
        <v>48</v>
      </c>
      <c r="G10" s="1">
        <v>7.2</v>
      </c>
      <c r="H10" s="1">
        <v>3</v>
      </c>
      <c r="I10" s="1">
        <v>7</v>
      </c>
      <c r="J10" s="1">
        <v>0</v>
      </c>
      <c r="K10" s="1">
        <v>0</v>
      </c>
      <c r="L10" s="1">
        <v>1.9</v>
      </c>
      <c r="M10" s="1">
        <v>2.8</v>
      </c>
      <c r="N10" s="1">
        <v>1.9</v>
      </c>
      <c r="O10" s="1">
        <v>0</v>
      </c>
      <c r="P10" s="1">
        <v>0</v>
      </c>
      <c r="Q10" s="19">
        <v>0</v>
      </c>
      <c r="R10" s="23">
        <v>1.2</v>
      </c>
      <c r="S10" s="1">
        <v>0.65</v>
      </c>
      <c r="T10" s="23">
        <v>0.35</v>
      </c>
      <c r="U10" s="1">
        <v>150000</v>
      </c>
      <c r="V10" s="1">
        <v>15</v>
      </c>
      <c r="W10" s="1">
        <v>60</v>
      </c>
      <c r="X10" s="1">
        <v>25</v>
      </c>
      <c r="Y10" s="23">
        <v>0.2</v>
      </c>
      <c r="Z10" s="1">
        <v>30000</v>
      </c>
      <c r="AA10" s="1">
        <v>300</v>
      </c>
      <c r="AB10" s="1">
        <v>15</v>
      </c>
      <c r="AC10" s="1">
        <v>5000</v>
      </c>
      <c r="AD10" s="19">
        <v>10</v>
      </c>
      <c r="AE10" s="1">
        <v>350</v>
      </c>
      <c r="AF10" s="1">
        <v>140</v>
      </c>
      <c r="AG10" s="1">
        <v>1200</v>
      </c>
      <c r="AH10" s="1">
        <v>1100</v>
      </c>
      <c r="AI10" s="1">
        <v>220</v>
      </c>
      <c r="AJ10" s="1">
        <v>800</v>
      </c>
      <c r="AK10" s="1">
        <v>18</v>
      </c>
      <c r="AL10" s="23">
        <v>3.5</v>
      </c>
      <c r="AM10" s="23">
        <v>6</v>
      </c>
      <c r="AP10" s="1"/>
    </row>
    <row r="11" spans="1:42" ht="18.75" x14ac:dyDescent="0.25">
      <c r="A11" t="s">
        <v>64</v>
      </c>
      <c r="C11" s="1">
        <v>2200</v>
      </c>
      <c r="D11" s="1">
        <v>9.5</v>
      </c>
      <c r="E11" s="1">
        <v>2.7</v>
      </c>
      <c r="F11" s="1">
        <v>30</v>
      </c>
      <c r="G11" s="1">
        <v>2.8</v>
      </c>
      <c r="H11" s="1">
        <v>2.4</v>
      </c>
      <c r="I11" s="1">
        <v>2.5</v>
      </c>
      <c r="J11" s="1">
        <v>0</v>
      </c>
      <c r="K11" s="1">
        <v>0</v>
      </c>
      <c r="L11" s="1">
        <v>2.8</v>
      </c>
      <c r="M11" s="1">
        <v>3.3</v>
      </c>
      <c r="N11" s="1">
        <v>2.9</v>
      </c>
      <c r="O11" s="1">
        <v>0</v>
      </c>
      <c r="P11" s="1">
        <v>0</v>
      </c>
      <c r="Q11" s="19">
        <v>0</v>
      </c>
      <c r="R11" s="23">
        <v>1.65</v>
      </c>
      <c r="S11" s="1">
        <v>0.75</v>
      </c>
      <c r="T11" s="23">
        <v>0.45</v>
      </c>
      <c r="U11" s="1">
        <v>250000</v>
      </c>
      <c r="V11" s="1">
        <v>25</v>
      </c>
      <c r="W11" s="1">
        <v>90</v>
      </c>
      <c r="X11" s="1">
        <v>35</v>
      </c>
      <c r="Y11" s="23">
        <v>0.3</v>
      </c>
      <c r="Z11" s="1">
        <v>50000</v>
      </c>
      <c r="AA11" s="1">
        <v>500</v>
      </c>
      <c r="AB11" s="1">
        <v>25</v>
      </c>
      <c r="AC11" s="1">
        <v>6500</v>
      </c>
      <c r="AD11" s="19">
        <v>15</v>
      </c>
      <c r="AE11" s="1">
        <v>500</v>
      </c>
      <c r="AF11" s="1">
        <v>200</v>
      </c>
      <c r="AG11" s="1">
        <v>1800</v>
      </c>
      <c r="AH11" s="1">
        <v>1700</v>
      </c>
      <c r="AI11" s="1">
        <v>350</v>
      </c>
      <c r="AJ11" s="1">
        <v>1200</v>
      </c>
      <c r="AK11" s="1">
        <v>30</v>
      </c>
      <c r="AL11" s="23">
        <v>6</v>
      </c>
      <c r="AM11" s="23">
        <v>10</v>
      </c>
      <c r="AP11" s="1"/>
    </row>
    <row r="12" spans="1:42" ht="18.75" x14ac:dyDescent="0.25">
      <c r="A12" t="s">
        <v>47</v>
      </c>
      <c r="C12" s="1">
        <v>3740</v>
      </c>
      <c r="D12" s="1">
        <v>3.5</v>
      </c>
      <c r="E12" s="1">
        <v>7</v>
      </c>
      <c r="F12" s="1">
        <v>37.200000000000003</v>
      </c>
      <c r="G12" s="1">
        <v>2.2000000000000002</v>
      </c>
      <c r="H12" s="1">
        <v>2.2999999999999998</v>
      </c>
      <c r="I12" s="1">
        <v>2.5</v>
      </c>
      <c r="J12" s="1">
        <v>0</v>
      </c>
      <c r="K12" s="1">
        <v>0</v>
      </c>
      <c r="L12" s="1">
        <v>1.5</v>
      </c>
      <c r="M12" s="1">
        <v>4</v>
      </c>
      <c r="N12" s="1">
        <v>2.8</v>
      </c>
      <c r="O12" s="1">
        <v>0</v>
      </c>
      <c r="P12" s="1">
        <v>0</v>
      </c>
      <c r="Q12" s="19">
        <v>0</v>
      </c>
      <c r="R12" s="23">
        <v>1.5</v>
      </c>
      <c r="S12" s="1">
        <v>0.7</v>
      </c>
      <c r="T12" s="23">
        <v>0.4</v>
      </c>
      <c r="U12" s="1">
        <v>220000</v>
      </c>
      <c r="V12" s="1">
        <v>22</v>
      </c>
      <c r="W12" s="1">
        <v>85</v>
      </c>
      <c r="X12" s="1">
        <v>32</v>
      </c>
      <c r="Y12" s="23">
        <v>0.28000000000000003</v>
      </c>
      <c r="Z12" s="1">
        <v>45000</v>
      </c>
      <c r="AA12" s="1">
        <v>450</v>
      </c>
      <c r="AB12" s="1">
        <v>22</v>
      </c>
      <c r="AC12" s="1">
        <v>6200</v>
      </c>
      <c r="AD12" s="19">
        <v>13</v>
      </c>
      <c r="AE12" s="1">
        <v>480</v>
      </c>
      <c r="AF12" s="1">
        <v>190</v>
      </c>
      <c r="AG12" s="1">
        <v>1700</v>
      </c>
      <c r="AH12" s="1">
        <v>1600</v>
      </c>
      <c r="AI12" s="1">
        <v>320</v>
      </c>
      <c r="AJ12" s="1">
        <v>1100</v>
      </c>
      <c r="AK12" s="1">
        <v>28</v>
      </c>
      <c r="AL12" s="23">
        <v>5.5</v>
      </c>
      <c r="AM12" s="23">
        <v>9</v>
      </c>
      <c r="AP12" s="1"/>
    </row>
    <row r="13" spans="1:42" ht="18.75" x14ac:dyDescent="0.25">
      <c r="A13" t="s">
        <v>41</v>
      </c>
      <c r="C13" s="1">
        <v>8600</v>
      </c>
      <c r="D13" s="1">
        <v>0</v>
      </c>
      <c r="E13" s="1">
        <v>100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9">
        <v>0</v>
      </c>
      <c r="R13" s="1">
        <v>0</v>
      </c>
      <c r="S13" s="1">
        <v>0</v>
      </c>
      <c r="T13" s="23">
        <v>9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80</v>
      </c>
      <c r="AB13" s="1">
        <v>0</v>
      </c>
      <c r="AC13" s="1">
        <v>0</v>
      </c>
      <c r="AD13" s="19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23">
        <v>0</v>
      </c>
      <c r="AP13" s="1"/>
    </row>
    <row r="14" spans="1:42" ht="18.75" x14ac:dyDescent="0.25">
      <c r="A14" t="s">
        <v>36</v>
      </c>
      <c r="C14" s="1">
        <v>2368</v>
      </c>
      <c r="D14" s="23">
        <v>14.6</v>
      </c>
      <c r="E14" s="23">
        <v>4.5999999999999996</v>
      </c>
      <c r="F14" s="23">
        <v>42.5</v>
      </c>
      <c r="G14" s="23">
        <v>1.72</v>
      </c>
      <c r="H14" s="23">
        <v>0.59</v>
      </c>
      <c r="I14" s="23">
        <v>1.24</v>
      </c>
      <c r="J14" s="23">
        <v>1.35</v>
      </c>
      <c r="K14" s="23">
        <v>0.5</v>
      </c>
      <c r="L14" s="23">
        <v>0.2</v>
      </c>
      <c r="M14" s="23">
        <v>0.3</v>
      </c>
      <c r="N14" s="23">
        <v>0.05</v>
      </c>
      <c r="O14" s="23">
        <v>1.8</v>
      </c>
      <c r="P14" s="23">
        <v>0.04</v>
      </c>
      <c r="Q14" s="28">
        <v>4.2</v>
      </c>
      <c r="R14" s="23">
        <v>1.4</v>
      </c>
      <c r="S14" s="1">
        <v>1.2</v>
      </c>
      <c r="T14" s="23">
        <v>0.5</v>
      </c>
      <c r="U14" s="1">
        <v>0</v>
      </c>
      <c r="V14" s="23">
        <v>5.2</v>
      </c>
      <c r="W14" s="23">
        <v>4.0999999999999996</v>
      </c>
      <c r="X14" s="23">
        <v>6.5</v>
      </c>
      <c r="Y14" s="1">
        <v>0</v>
      </c>
      <c r="Z14" s="1">
        <v>0</v>
      </c>
      <c r="AA14" s="23">
        <v>8.5</v>
      </c>
      <c r="AB14" s="23">
        <v>0.18</v>
      </c>
      <c r="AC14" s="1">
        <v>2100</v>
      </c>
      <c r="AD14" s="28">
        <v>1.1499999999999999</v>
      </c>
      <c r="AE14" s="1">
        <v>35</v>
      </c>
      <c r="AF14" s="1">
        <v>10</v>
      </c>
      <c r="AG14" s="1">
        <v>20</v>
      </c>
      <c r="AH14" s="1">
        <v>65</v>
      </c>
      <c r="AI14" s="1">
        <v>15</v>
      </c>
      <c r="AJ14" s="1">
        <v>200</v>
      </c>
      <c r="AK14" s="23">
        <v>0.18</v>
      </c>
      <c r="AL14" s="23">
        <v>0.3</v>
      </c>
      <c r="AM14" s="23">
        <v>0.2</v>
      </c>
      <c r="AP14" s="1"/>
    </row>
    <row r="15" spans="1:42" ht="18.75" x14ac:dyDescent="0.25">
      <c r="A15" t="s">
        <v>35</v>
      </c>
      <c r="C15" s="1">
        <v>3900</v>
      </c>
      <c r="D15" s="23">
        <v>6</v>
      </c>
      <c r="E15" s="23">
        <v>17.899999999999999</v>
      </c>
      <c r="F15" s="23">
        <v>37</v>
      </c>
      <c r="G15" s="23">
        <v>2.35</v>
      </c>
      <c r="H15" s="23">
        <v>0.52</v>
      </c>
      <c r="I15" s="23">
        <v>1.1499999999999999</v>
      </c>
      <c r="J15" s="23">
        <v>1.45</v>
      </c>
      <c r="K15" s="23">
        <v>0.48</v>
      </c>
      <c r="L15" s="23">
        <v>0.25</v>
      </c>
      <c r="M15" s="23">
        <v>0.2</v>
      </c>
      <c r="N15" s="23">
        <v>0.01</v>
      </c>
      <c r="O15" s="23">
        <v>1.8</v>
      </c>
      <c r="P15" s="23">
        <v>0.03</v>
      </c>
      <c r="Q15" s="28">
        <v>2.65</v>
      </c>
      <c r="R15" s="23">
        <v>1.85</v>
      </c>
      <c r="S15" s="1">
        <v>1.8</v>
      </c>
      <c r="T15" s="23">
        <v>9.5</v>
      </c>
      <c r="U15" s="1">
        <v>0</v>
      </c>
      <c r="V15" s="23">
        <v>6.5</v>
      </c>
      <c r="W15" s="23">
        <v>2.8</v>
      </c>
      <c r="X15" s="23">
        <v>5</v>
      </c>
      <c r="Y15" s="1">
        <v>0</v>
      </c>
      <c r="Z15" s="1">
        <v>0</v>
      </c>
      <c r="AA15" s="23">
        <v>3</v>
      </c>
      <c r="AB15" s="23">
        <v>0.4</v>
      </c>
      <c r="AC15" s="1">
        <v>2700</v>
      </c>
      <c r="AD15" s="28">
        <v>0.85</v>
      </c>
      <c r="AE15" s="1">
        <v>24</v>
      </c>
      <c r="AF15" s="1">
        <v>15</v>
      </c>
      <c r="AG15" s="1">
        <v>30</v>
      </c>
      <c r="AH15" s="1">
        <v>45</v>
      </c>
      <c r="AI15" s="1">
        <v>12</v>
      </c>
      <c r="AJ15" s="1">
        <v>120</v>
      </c>
      <c r="AK15" s="23">
        <v>0.12</v>
      </c>
      <c r="AL15" s="23">
        <v>0.08</v>
      </c>
      <c r="AM15" s="23">
        <v>0.15</v>
      </c>
      <c r="AP15" s="1"/>
    </row>
    <row r="16" spans="1:42" ht="18.75" x14ac:dyDescent="0.25">
      <c r="A16" t="s">
        <v>261</v>
      </c>
      <c r="C16" s="1">
        <v>2280</v>
      </c>
      <c r="D16" s="23">
        <v>5.5</v>
      </c>
      <c r="E16" s="23">
        <v>3.5</v>
      </c>
      <c r="F16" s="23">
        <v>42.5</v>
      </c>
      <c r="G16" s="23">
        <v>2.54</v>
      </c>
      <c r="H16" s="23">
        <v>0.59</v>
      </c>
      <c r="I16" s="23">
        <v>1.24</v>
      </c>
      <c r="J16" s="23">
        <v>1.8</v>
      </c>
      <c r="K16" s="23">
        <v>0.6</v>
      </c>
      <c r="L16" s="23">
        <v>0.34</v>
      </c>
      <c r="M16" s="23">
        <v>0.6</v>
      </c>
      <c r="N16" s="23">
        <v>0.04</v>
      </c>
      <c r="O16" s="23"/>
      <c r="P16" s="23">
        <v>0.02</v>
      </c>
      <c r="Q16" s="28">
        <v>3.3</v>
      </c>
      <c r="R16" s="23">
        <v>2.2000000000000002</v>
      </c>
      <c r="S16" s="1">
        <v>1.71</v>
      </c>
      <c r="T16" s="23">
        <v>1.8</v>
      </c>
      <c r="U16" s="1">
        <v>0</v>
      </c>
      <c r="V16" s="23">
        <v>6</v>
      </c>
      <c r="W16" s="23">
        <v>3</v>
      </c>
      <c r="X16" s="23">
        <v>6</v>
      </c>
      <c r="Y16" s="1">
        <v>0</v>
      </c>
      <c r="Z16" s="1">
        <v>0</v>
      </c>
      <c r="AA16" s="23">
        <v>3.5</v>
      </c>
      <c r="AB16" s="23">
        <v>0.5</v>
      </c>
      <c r="AC16" s="1">
        <v>2573</v>
      </c>
      <c r="AD16" s="28">
        <v>0.7</v>
      </c>
      <c r="AE16" s="1">
        <v>30</v>
      </c>
      <c r="AF16" s="1">
        <v>16</v>
      </c>
      <c r="AG16" s="1">
        <v>35</v>
      </c>
      <c r="AH16" s="1">
        <v>55</v>
      </c>
      <c r="AI16" s="1">
        <v>18</v>
      </c>
      <c r="AJ16" s="1">
        <v>150</v>
      </c>
      <c r="AK16" s="23">
        <v>0.3</v>
      </c>
      <c r="AL16" s="23">
        <v>0.3</v>
      </c>
      <c r="AM16" s="23">
        <v>0.2</v>
      </c>
      <c r="AP16" s="1"/>
    </row>
    <row r="17" spans="1:42" ht="18.75" x14ac:dyDescent="0.25">
      <c r="A17" t="s">
        <v>260</v>
      </c>
      <c r="C17" s="1">
        <v>2350</v>
      </c>
      <c r="D17" s="23">
        <v>6</v>
      </c>
      <c r="E17" s="23">
        <v>1.5</v>
      </c>
      <c r="F17" s="23">
        <v>44</v>
      </c>
      <c r="G17" s="23">
        <v>2.75</v>
      </c>
      <c r="H17" s="23">
        <v>0.61</v>
      </c>
      <c r="I17" s="23">
        <v>1.28</v>
      </c>
      <c r="J17" s="23">
        <v>1.8</v>
      </c>
      <c r="K17" s="23">
        <v>0.6</v>
      </c>
      <c r="L17" s="23">
        <v>0.34</v>
      </c>
      <c r="M17" s="23">
        <v>0.22</v>
      </c>
      <c r="N17" s="23">
        <v>0.01</v>
      </c>
      <c r="O17" s="23">
        <v>2.15</v>
      </c>
      <c r="P17" s="23">
        <v>0.05</v>
      </c>
      <c r="Q17" s="28">
        <v>3.3</v>
      </c>
      <c r="R17" s="23">
        <v>2.2000000000000002</v>
      </c>
      <c r="S17" s="1">
        <v>2</v>
      </c>
      <c r="T17" s="23">
        <v>0.8</v>
      </c>
      <c r="U17" s="1">
        <v>0</v>
      </c>
      <c r="V17" s="23">
        <v>6</v>
      </c>
      <c r="W17" s="23">
        <v>3</v>
      </c>
      <c r="X17" s="23">
        <v>6</v>
      </c>
      <c r="Y17" s="1">
        <v>0</v>
      </c>
      <c r="Z17" s="1">
        <v>0</v>
      </c>
      <c r="AA17" s="23">
        <v>3.5</v>
      </c>
      <c r="AB17" s="23">
        <v>0.5</v>
      </c>
      <c r="AC17" s="1">
        <v>2700</v>
      </c>
      <c r="AD17" s="28">
        <v>0.7</v>
      </c>
      <c r="AE17" s="1">
        <v>30</v>
      </c>
      <c r="AF17" s="1">
        <v>16</v>
      </c>
      <c r="AG17" s="1">
        <v>35</v>
      </c>
      <c r="AH17" s="1">
        <v>55</v>
      </c>
      <c r="AI17" s="1">
        <v>18</v>
      </c>
      <c r="AJ17" s="1">
        <v>250</v>
      </c>
      <c r="AK17" s="23">
        <v>0.15</v>
      </c>
      <c r="AL17" s="23">
        <v>0.12</v>
      </c>
      <c r="AM17" s="23">
        <v>0.18</v>
      </c>
      <c r="AP17" s="1"/>
    </row>
    <row r="18" spans="1:42" ht="18.75" x14ac:dyDescent="0.25">
      <c r="A18" t="s">
        <v>56</v>
      </c>
      <c r="C18" s="1">
        <v>2420</v>
      </c>
      <c r="D18" s="23">
        <v>7.4</v>
      </c>
      <c r="E18" s="23">
        <v>1.7</v>
      </c>
      <c r="F18" s="23">
        <v>46</v>
      </c>
      <c r="G18" s="23">
        <v>2.9</v>
      </c>
      <c r="H18" s="23">
        <v>0.65</v>
      </c>
      <c r="I18" s="23">
        <v>1.35</v>
      </c>
      <c r="J18" s="23">
        <v>1.8</v>
      </c>
      <c r="K18" s="23">
        <v>0.6</v>
      </c>
      <c r="L18" s="23">
        <v>0.34</v>
      </c>
      <c r="M18" s="23">
        <v>0.22</v>
      </c>
      <c r="N18" s="23">
        <v>0.01</v>
      </c>
      <c r="O18" s="23">
        <v>2.15</v>
      </c>
      <c r="P18" s="23">
        <v>0.05</v>
      </c>
      <c r="Q18" s="28">
        <v>3.3</v>
      </c>
      <c r="R18" s="23">
        <v>2.2000000000000002</v>
      </c>
      <c r="S18" s="1">
        <v>2</v>
      </c>
      <c r="T18" s="23">
        <v>0.8</v>
      </c>
      <c r="U18" s="1">
        <v>0</v>
      </c>
      <c r="V18" s="23">
        <v>6</v>
      </c>
      <c r="W18" s="23">
        <v>3</v>
      </c>
      <c r="X18" s="23">
        <v>6</v>
      </c>
      <c r="Y18" s="1">
        <v>0</v>
      </c>
      <c r="Z18" s="1">
        <v>0</v>
      </c>
      <c r="AA18" s="23">
        <v>3.5</v>
      </c>
      <c r="AB18" s="23">
        <v>0.5</v>
      </c>
      <c r="AC18" s="1">
        <v>2700</v>
      </c>
      <c r="AD18" s="28">
        <v>0.7</v>
      </c>
      <c r="AE18" s="1">
        <v>30</v>
      </c>
      <c r="AF18" s="1">
        <v>16</v>
      </c>
      <c r="AG18" s="1">
        <v>35</v>
      </c>
      <c r="AH18" s="1">
        <v>55</v>
      </c>
      <c r="AI18" s="1">
        <v>18</v>
      </c>
      <c r="AJ18" s="1">
        <v>250</v>
      </c>
      <c r="AK18" s="23">
        <v>0.15</v>
      </c>
      <c r="AL18" s="23">
        <v>0.12</v>
      </c>
      <c r="AM18" s="23">
        <v>0.18</v>
      </c>
      <c r="AP18" s="1"/>
    </row>
    <row r="19" spans="1:42" ht="18.75" x14ac:dyDescent="0.25">
      <c r="A19" t="s">
        <v>259</v>
      </c>
      <c r="C19" s="1">
        <v>2440</v>
      </c>
      <c r="D19" s="23">
        <v>3.9</v>
      </c>
      <c r="E19" s="23">
        <v>1</v>
      </c>
      <c r="F19" s="23">
        <v>48.5</v>
      </c>
      <c r="G19" s="23">
        <v>3.05</v>
      </c>
      <c r="H19" s="23">
        <v>0.65</v>
      </c>
      <c r="I19" s="23">
        <v>1.38</v>
      </c>
      <c r="J19" s="23">
        <v>1.8</v>
      </c>
      <c r="K19" s="23">
        <v>0.6</v>
      </c>
      <c r="L19" s="23">
        <v>0.34</v>
      </c>
      <c r="M19" s="23">
        <v>0.22</v>
      </c>
      <c r="N19" s="23">
        <v>0.01</v>
      </c>
      <c r="O19" s="23">
        <v>2.15</v>
      </c>
      <c r="P19" s="23">
        <v>0.05</v>
      </c>
      <c r="Q19" s="28">
        <v>3.3</v>
      </c>
      <c r="R19" s="23">
        <v>2.2000000000000002</v>
      </c>
      <c r="S19" s="1">
        <v>2</v>
      </c>
      <c r="T19" s="23">
        <v>0.8</v>
      </c>
      <c r="U19" s="1">
        <v>0</v>
      </c>
      <c r="V19" s="23">
        <v>6</v>
      </c>
      <c r="W19" s="23">
        <v>3</v>
      </c>
      <c r="X19" s="23">
        <v>6</v>
      </c>
      <c r="Y19" s="1">
        <v>0</v>
      </c>
      <c r="Z19" s="1">
        <v>0</v>
      </c>
      <c r="AA19" s="23">
        <v>3.5</v>
      </c>
      <c r="AB19" s="23">
        <v>0.5</v>
      </c>
      <c r="AC19" s="1">
        <v>2700</v>
      </c>
      <c r="AD19" s="28">
        <v>0.7</v>
      </c>
      <c r="AE19" s="1">
        <v>30</v>
      </c>
      <c r="AF19" s="1">
        <v>16</v>
      </c>
      <c r="AG19" s="1">
        <v>35</v>
      </c>
      <c r="AH19" s="1">
        <v>55</v>
      </c>
      <c r="AI19" s="1">
        <v>18</v>
      </c>
      <c r="AJ19" s="1">
        <v>250</v>
      </c>
      <c r="AK19" s="23">
        <v>0.15</v>
      </c>
      <c r="AL19" s="23">
        <v>0.12</v>
      </c>
      <c r="AM19" s="23">
        <v>0.18</v>
      </c>
      <c r="AP19" s="1"/>
    </row>
    <row r="20" spans="1:42" ht="18.75" x14ac:dyDescent="0.25">
      <c r="A20" t="s">
        <v>58</v>
      </c>
      <c r="C20" s="1">
        <v>5000</v>
      </c>
      <c r="D20" s="1">
        <v>0</v>
      </c>
      <c r="E20" s="1">
        <v>0</v>
      </c>
      <c r="F20" s="23">
        <v>58</v>
      </c>
      <c r="G20" s="1">
        <v>0</v>
      </c>
      <c r="H20" s="23">
        <v>99</v>
      </c>
      <c r="I20" s="23">
        <v>99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9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9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23">
        <v>0</v>
      </c>
      <c r="AP20" s="1"/>
    </row>
    <row r="21" spans="1:42" ht="18.75" x14ac:dyDescent="0.25">
      <c r="A21" t="s">
        <v>59</v>
      </c>
      <c r="C21" s="1">
        <v>4000</v>
      </c>
      <c r="D21" s="1">
        <v>0</v>
      </c>
      <c r="E21" s="1">
        <v>0</v>
      </c>
      <c r="F21" s="23">
        <v>95</v>
      </c>
      <c r="G21" s="23">
        <v>78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9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9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23">
        <v>0</v>
      </c>
      <c r="AP21" s="1"/>
    </row>
    <row r="22" spans="1:42" ht="18.75" x14ac:dyDescent="0.25">
      <c r="A22" t="s">
        <v>60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23">
        <v>24</v>
      </c>
      <c r="M22" s="23">
        <v>12</v>
      </c>
      <c r="N22" s="1">
        <v>0</v>
      </c>
      <c r="O22" s="1">
        <v>0</v>
      </c>
      <c r="P22" s="1">
        <v>0</v>
      </c>
      <c r="Q22" s="19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9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23">
        <v>0</v>
      </c>
      <c r="AP22" s="1"/>
    </row>
    <row r="23" spans="1:42" ht="18.75" x14ac:dyDescent="0.25">
      <c r="A23" t="s">
        <v>39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23">
        <v>39</v>
      </c>
      <c r="O23" s="1">
        <v>0</v>
      </c>
      <c r="P23" s="23">
        <v>60</v>
      </c>
      <c r="Q23" s="19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9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23">
        <v>0</v>
      </c>
      <c r="AP23" s="1"/>
    </row>
    <row r="24" spans="1:42" ht="18.75" x14ac:dyDescent="0.25">
      <c r="A24" t="s">
        <v>61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39</v>
      </c>
      <c r="O24" s="1">
        <v>0</v>
      </c>
      <c r="P24" s="1">
        <v>60</v>
      </c>
      <c r="Q24" s="19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9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23">
        <v>0</v>
      </c>
      <c r="AP24" s="1"/>
    </row>
    <row r="25" spans="1:42" x14ac:dyDescent="0.25">
      <c r="A25" t="s">
        <v>54</v>
      </c>
      <c r="C25">
        <v>8800</v>
      </c>
      <c r="D25">
        <v>0</v>
      </c>
      <c r="E25">
        <v>100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s="27">
        <v>0</v>
      </c>
      <c r="R25">
        <v>0</v>
      </c>
      <c r="S25">
        <v>0</v>
      </c>
      <c r="T25">
        <v>32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s="27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42" x14ac:dyDescent="0.25">
      <c r="A26" t="s">
        <v>37</v>
      </c>
      <c r="C26">
        <v>2654</v>
      </c>
      <c r="D26">
        <v>15</v>
      </c>
      <c r="E26">
        <v>10</v>
      </c>
      <c r="F26">
        <v>16</v>
      </c>
      <c r="G26">
        <v>0.6</v>
      </c>
      <c r="H26">
        <v>0.3</v>
      </c>
      <c r="I26">
        <v>0.65</v>
      </c>
      <c r="J26">
        <v>0.55000000000000004</v>
      </c>
      <c r="K26">
        <v>0.15</v>
      </c>
      <c r="L26">
        <v>0.3</v>
      </c>
      <c r="M26">
        <v>0.2</v>
      </c>
      <c r="N26">
        <v>0.02</v>
      </c>
      <c r="O26">
        <v>0.8</v>
      </c>
      <c r="P26">
        <v>0.05</v>
      </c>
      <c r="Q26" s="27">
        <v>0.95</v>
      </c>
      <c r="R26">
        <v>0.6</v>
      </c>
      <c r="S26">
        <v>0.75</v>
      </c>
      <c r="T26">
        <v>0.15</v>
      </c>
      <c r="U26">
        <v>0</v>
      </c>
      <c r="V26">
        <v>2.2000000000000002</v>
      </c>
      <c r="W26">
        <v>2.8</v>
      </c>
      <c r="X26">
        <v>3.2</v>
      </c>
      <c r="Y26">
        <v>0</v>
      </c>
      <c r="Z26">
        <v>0</v>
      </c>
      <c r="AA26">
        <v>4.5</v>
      </c>
      <c r="AB26">
        <v>0.1</v>
      </c>
      <c r="AC26">
        <v>1150</v>
      </c>
      <c r="AD26" s="27">
        <v>0.35</v>
      </c>
      <c r="AE26">
        <v>32</v>
      </c>
      <c r="AF26">
        <v>4.5</v>
      </c>
      <c r="AG26">
        <v>180</v>
      </c>
      <c r="AH26">
        <v>60</v>
      </c>
      <c r="AI26">
        <v>22</v>
      </c>
      <c r="AJ26">
        <v>450</v>
      </c>
      <c r="AK26">
        <v>0.1</v>
      </c>
      <c r="AL26">
        <v>0.2</v>
      </c>
      <c r="AM26">
        <v>0.18</v>
      </c>
    </row>
    <row r="27" spans="1:42" x14ac:dyDescent="0.25">
      <c r="A27" t="s">
        <v>57</v>
      </c>
      <c r="C27">
        <v>2850</v>
      </c>
      <c r="D27">
        <v>1</v>
      </c>
      <c r="E27">
        <v>8.5</v>
      </c>
      <c r="F27">
        <v>60</v>
      </c>
      <c r="G27">
        <v>4.5</v>
      </c>
      <c r="H27">
        <v>1.7</v>
      </c>
      <c r="I27">
        <v>2.4</v>
      </c>
      <c r="J27">
        <v>2.5</v>
      </c>
      <c r="K27">
        <v>0.65</v>
      </c>
      <c r="L27">
        <v>5.5</v>
      </c>
      <c r="M27">
        <v>3</v>
      </c>
      <c r="N27">
        <v>0.8</v>
      </c>
      <c r="O27">
        <v>3</v>
      </c>
      <c r="P27">
        <v>0.9</v>
      </c>
      <c r="Q27" s="27">
        <v>3.8</v>
      </c>
      <c r="R27">
        <v>2.8</v>
      </c>
      <c r="S27">
        <v>0.85</v>
      </c>
      <c r="T27">
        <v>0.1</v>
      </c>
      <c r="U27">
        <v>0</v>
      </c>
      <c r="V27">
        <v>1</v>
      </c>
      <c r="W27">
        <v>6.5</v>
      </c>
      <c r="X27">
        <v>4.5</v>
      </c>
      <c r="Y27">
        <v>0.35</v>
      </c>
      <c r="Z27">
        <v>800</v>
      </c>
      <c r="AA27">
        <v>8</v>
      </c>
      <c r="AB27">
        <v>0.2</v>
      </c>
      <c r="AC27">
        <v>3500</v>
      </c>
      <c r="AD27" s="27">
        <v>0.45</v>
      </c>
      <c r="AE27">
        <v>75</v>
      </c>
      <c r="AF27">
        <v>12</v>
      </c>
      <c r="AG27">
        <v>10</v>
      </c>
      <c r="AH27">
        <v>90</v>
      </c>
      <c r="AI27">
        <v>8</v>
      </c>
      <c r="AJ27">
        <v>380</v>
      </c>
      <c r="AK27">
        <v>3.5</v>
      </c>
      <c r="AL27">
        <v>2.2000000000000002</v>
      </c>
      <c r="AM27">
        <v>0.25</v>
      </c>
    </row>
    <row r="28" spans="1:42" ht="18.75" x14ac:dyDescent="0.25">
      <c r="A28" t="s">
        <v>34</v>
      </c>
      <c r="C28" s="1">
        <v>2800</v>
      </c>
      <c r="D28" s="23">
        <v>5.5</v>
      </c>
      <c r="E28" s="23">
        <v>1.5</v>
      </c>
      <c r="F28" s="23">
        <v>25</v>
      </c>
      <c r="G28" s="23">
        <v>1.65</v>
      </c>
      <c r="H28" s="23">
        <v>0.3</v>
      </c>
      <c r="I28" s="23">
        <v>0.55000000000000004</v>
      </c>
      <c r="J28" s="23">
        <v>0.85</v>
      </c>
      <c r="K28" s="23">
        <v>0.25</v>
      </c>
      <c r="L28" s="23">
        <v>0.1</v>
      </c>
      <c r="M28" s="23">
        <v>0.15</v>
      </c>
      <c r="N28" s="23">
        <v>0.02</v>
      </c>
      <c r="O28" s="23">
        <v>1.1499999999999999</v>
      </c>
      <c r="P28" s="23">
        <v>0.04</v>
      </c>
      <c r="Q28" s="28">
        <v>1.6</v>
      </c>
      <c r="R28" s="23">
        <v>1.1000000000000001</v>
      </c>
      <c r="S28" s="1">
        <v>1.1499999999999999</v>
      </c>
      <c r="T28" s="23">
        <v>0.35</v>
      </c>
      <c r="U28" s="1">
        <v>0</v>
      </c>
      <c r="V28" s="23">
        <v>7</v>
      </c>
      <c r="W28" s="23">
        <v>2.5</v>
      </c>
      <c r="X28" s="23">
        <v>3.5</v>
      </c>
      <c r="Y28" s="1">
        <v>0</v>
      </c>
      <c r="Z28" s="1">
        <v>0</v>
      </c>
      <c r="AA28" s="23">
        <v>3</v>
      </c>
      <c r="AB28" s="23">
        <v>0.15</v>
      </c>
      <c r="AC28" s="1">
        <v>1500</v>
      </c>
      <c r="AD28" s="28">
        <v>0.6</v>
      </c>
      <c r="AE28" s="1">
        <v>18</v>
      </c>
      <c r="AF28" s="1">
        <v>18</v>
      </c>
      <c r="AG28" s="1">
        <v>18</v>
      </c>
      <c r="AH28" s="1">
        <v>35</v>
      </c>
      <c r="AI28" s="23">
        <v>7</v>
      </c>
      <c r="AJ28" s="1">
        <v>75</v>
      </c>
      <c r="AK28" s="23">
        <v>0.1</v>
      </c>
      <c r="AL28" s="23">
        <v>0.1</v>
      </c>
      <c r="AM28" s="23">
        <v>0.2</v>
      </c>
      <c r="AP28" s="1"/>
    </row>
    <row r="29" spans="1:42" ht="18.75" x14ac:dyDescent="0.25">
      <c r="A29" t="s">
        <v>55</v>
      </c>
      <c r="C29" s="1">
        <v>2410</v>
      </c>
      <c r="D29" s="23">
        <v>6.8</v>
      </c>
      <c r="E29" s="23">
        <v>3.4</v>
      </c>
      <c r="F29" s="23">
        <v>49</v>
      </c>
      <c r="G29" s="23">
        <v>1.7</v>
      </c>
      <c r="H29" s="23">
        <v>0.49</v>
      </c>
      <c r="I29" s="23">
        <v>1.18</v>
      </c>
      <c r="J29" s="23">
        <v>1.25</v>
      </c>
      <c r="K29" s="23">
        <v>0.55000000000000004</v>
      </c>
      <c r="L29" s="23">
        <v>0.16</v>
      </c>
      <c r="M29" s="23">
        <v>0.2</v>
      </c>
      <c r="N29" s="23">
        <v>0.02</v>
      </c>
      <c r="O29" s="23">
        <v>1.9</v>
      </c>
      <c r="P29" s="23">
        <v>0.03</v>
      </c>
      <c r="Q29" s="28">
        <v>5.2</v>
      </c>
      <c r="R29" s="23">
        <v>1.7</v>
      </c>
      <c r="S29" s="1">
        <v>1.1499999999999999</v>
      </c>
      <c r="T29" s="23">
        <v>0.35</v>
      </c>
      <c r="U29" s="1">
        <v>0</v>
      </c>
      <c r="V29" s="23">
        <v>7.5</v>
      </c>
      <c r="W29" s="23">
        <v>3.2</v>
      </c>
      <c r="X29" s="23">
        <v>6</v>
      </c>
      <c r="Y29" s="1">
        <v>0</v>
      </c>
      <c r="Z29" s="1">
        <v>0</v>
      </c>
      <c r="AA29" s="1">
        <v>10</v>
      </c>
      <c r="AB29" s="23">
        <v>0.25</v>
      </c>
      <c r="AC29" s="1">
        <v>1750</v>
      </c>
      <c r="AD29" s="28">
        <v>0.65</v>
      </c>
      <c r="AE29" s="1">
        <v>165</v>
      </c>
      <c r="AF29" s="1">
        <v>22</v>
      </c>
      <c r="AG29" s="1">
        <v>35</v>
      </c>
      <c r="AH29" s="1">
        <v>50</v>
      </c>
      <c r="AI29" s="1">
        <v>16</v>
      </c>
      <c r="AJ29" s="1">
        <v>250</v>
      </c>
      <c r="AK29" s="23">
        <v>0.2</v>
      </c>
      <c r="AL29" s="23">
        <v>0.25</v>
      </c>
      <c r="AM29" s="23">
        <v>0.15</v>
      </c>
      <c r="AP29" s="1"/>
    </row>
    <row r="30" spans="1:42" x14ac:dyDescent="0.25">
      <c r="Q30"/>
      <c r="AD30"/>
    </row>
    <row r="31" spans="1:42" x14ac:dyDescent="0.25">
      <c r="Q31"/>
      <c r="AD31"/>
    </row>
    <row r="32" spans="1:42" x14ac:dyDescent="0.25">
      <c r="Q32"/>
      <c r="AD32"/>
    </row>
    <row r="33" spans="7:30" x14ac:dyDescent="0.25">
      <c r="Q33"/>
      <c r="AD33"/>
    </row>
    <row r="34" spans="7:30" ht="30" x14ac:dyDescent="0.25">
      <c r="G34" s="26" t="s">
        <v>83</v>
      </c>
    </row>
    <row r="37" spans="7:30" x14ac:dyDescent="0.25">
      <c r="J37" t="s">
        <v>65</v>
      </c>
      <c r="K37" t="s">
        <v>72</v>
      </c>
    </row>
    <row r="38" spans="7:30" x14ac:dyDescent="0.25">
      <c r="J38" t="s">
        <v>49</v>
      </c>
      <c r="K38" t="s">
        <v>73</v>
      </c>
    </row>
    <row r="39" spans="7:30" x14ac:dyDescent="0.25">
      <c r="J39" t="s">
        <v>50</v>
      </c>
      <c r="K39" t="s">
        <v>74</v>
      </c>
    </row>
    <row r="40" spans="7:30" x14ac:dyDescent="0.25">
      <c r="J40" t="s">
        <v>51</v>
      </c>
      <c r="K40" t="s">
        <v>75</v>
      </c>
    </row>
    <row r="41" spans="7:30" x14ac:dyDescent="0.25">
      <c r="J41" t="s">
        <v>52</v>
      </c>
      <c r="K41" t="s">
        <v>76</v>
      </c>
    </row>
    <row r="42" spans="7:30" x14ac:dyDescent="0.25">
      <c r="J42" t="s">
        <v>53</v>
      </c>
      <c r="K42" t="s">
        <v>77</v>
      </c>
    </row>
    <row r="43" spans="7:30" x14ac:dyDescent="0.25">
      <c r="J43" t="s">
        <v>33</v>
      </c>
      <c r="K43" t="s">
        <v>78</v>
      </c>
    </row>
    <row r="44" spans="7:30" x14ac:dyDescent="0.25">
      <c r="J44" t="s">
        <v>62</v>
      </c>
      <c r="K44" t="s">
        <v>79</v>
      </c>
    </row>
    <row r="45" spans="7:30" x14ac:dyDescent="0.25">
      <c r="J45" t="s">
        <v>63</v>
      </c>
      <c r="K45" t="s">
        <v>80</v>
      </c>
    </row>
    <row r="46" spans="7:30" x14ac:dyDescent="0.25">
      <c r="J46" t="s">
        <v>64</v>
      </c>
      <c r="K46" t="s">
        <v>81</v>
      </c>
    </row>
    <row r="47" spans="7:30" x14ac:dyDescent="0.25">
      <c r="J47" t="s">
        <v>47</v>
      </c>
      <c r="K47" t="s">
        <v>82</v>
      </c>
    </row>
    <row r="48" spans="7:30" x14ac:dyDescent="0.25">
      <c r="J48" t="s">
        <v>41</v>
      </c>
    </row>
    <row r="49" spans="10:10" x14ac:dyDescent="0.25">
      <c r="J49" t="s">
        <v>36</v>
      </c>
    </row>
    <row r="50" spans="10:10" x14ac:dyDescent="0.25">
      <c r="J50" t="s">
        <v>35</v>
      </c>
    </row>
    <row r="51" spans="10:10" x14ac:dyDescent="0.25">
      <c r="J51" t="s">
        <v>56</v>
      </c>
    </row>
    <row r="52" spans="10:10" x14ac:dyDescent="0.25">
      <c r="J52" t="s">
        <v>58</v>
      </c>
    </row>
    <row r="53" spans="10:10" x14ac:dyDescent="0.25">
      <c r="J53" t="s">
        <v>59</v>
      </c>
    </row>
    <row r="54" spans="10:10" x14ac:dyDescent="0.25">
      <c r="J54" t="s">
        <v>60</v>
      </c>
    </row>
    <row r="55" spans="10:10" x14ac:dyDescent="0.25">
      <c r="J55" t="s">
        <v>39</v>
      </c>
    </row>
    <row r="56" spans="10:10" x14ac:dyDescent="0.25">
      <c r="J56" t="s">
        <v>61</v>
      </c>
    </row>
    <row r="57" spans="10:10" x14ac:dyDescent="0.25">
      <c r="J57" t="s">
        <v>54</v>
      </c>
    </row>
    <row r="58" spans="10:10" x14ac:dyDescent="0.25">
      <c r="J58" t="s">
        <v>37</v>
      </c>
    </row>
    <row r="59" spans="10:10" x14ac:dyDescent="0.25">
      <c r="J59" t="s">
        <v>57</v>
      </c>
    </row>
    <row r="60" spans="10:10" x14ac:dyDescent="0.25">
      <c r="J60" t="s">
        <v>34</v>
      </c>
    </row>
    <row r="61" spans="10:10" x14ac:dyDescent="0.25">
      <c r="J61" t="s">
        <v>261</v>
      </c>
    </row>
    <row r="62" spans="10:10" x14ac:dyDescent="0.25">
      <c r="J62" t="s">
        <v>260</v>
      </c>
    </row>
    <row r="63" spans="10:10" x14ac:dyDescent="0.25">
      <c r="J63" t="s">
        <v>262</v>
      </c>
    </row>
    <row r="64" spans="10:10" x14ac:dyDescent="0.25">
      <c r="J64" t="s">
        <v>259</v>
      </c>
    </row>
    <row r="65" spans="2:12" x14ac:dyDescent="0.25">
      <c r="J65" t="s">
        <v>55</v>
      </c>
    </row>
    <row r="67" spans="2:12" x14ac:dyDescent="0.25">
      <c r="B67" t="s">
        <v>66</v>
      </c>
      <c r="C67" s="20" t="s">
        <v>74</v>
      </c>
      <c r="D67" t="s">
        <v>75</v>
      </c>
      <c r="E67" t="s">
        <v>77</v>
      </c>
      <c r="F67" s="20" t="s">
        <v>73</v>
      </c>
      <c r="G67" t="s">
        <v>76</v>
      </c>
      <c r="H67" t="s">
        <v>78</v>
      </c>
      <c r="I67" t="s">
        <v>79</v>
      </c>
      <c r="J67" t="s">
        <v>80</v>
      </c>
      <c r="K67" t="s">
        <v>81</v>
      </c>
      <c r="L67" t="s">
        <v>82</v>
      </c>
    </row>
    <row r="68" spans="2:12" ht="18.75" x14ac:dyDescent="0.25">
      <c r="B68" s="17" t="s">
        <v>2</v>
      </c>
      <c r="C68" s="19" t="s">
        <v>207</v>
      </c>
      <c r="D68" s="19" t="s">
        <v>208</v>
      </c>
      <c r="E68" s="19" t="s">
        <v>209</v>
      </c>
      <c r="F68" s="19" t="s">
        <v>119</v>
      </c>
      <c r="G68" s="19" t="s">
        <v>123</v>
      </c>
      <c r="H68" s="19">
        <v>2750</v>
      </c>
      <c r="I68" s="19">
        <v>2750</v>
      </c>
      <c r="J68" s="19" t="s">
        <v>135</v>
      </c>
      <c r="K68" s="19" t="s">
        <v>136</v>
      </c>
      <c r="L68" s="19" t="s">
        <v>84</v>
      </c>
    </row>
    <row r="69" spans="2:12" ht="18.75" x14ac:dyDescent="0.25">
      <c r="B69" s="18" t="s">
        <v>45</v>
      </c>
      <c r="C69" s="30">
        <v>3.5</v>
      </c>
      <c r="D69" s="30">
        <v>4</v>
      </c>
      <c r="E69" s="30">
        <v>4.5</v>
      </c>
      <c r="F69" s="19">
        <v>3.5</v>
      </c>
      <c r="G69" s="32">
        <v>4.5</v>
      </c>
      <c r="H69" s="19">
        <v>5.5</v>
      </c>
      <c r="I69" s="19">
        <v>5</v>
      </c>
      <c r="J69" s="19">
        <v>4.5</v>
      </c>
      <c r="K69" s="19">
        <v>5</v>
      </c>
      <c r="L69" s="30" t="s">
        <v>117</v>
      </c>
    </row>
    <row r="70" spans="2:12" ht="18.75" x14ac:dyDescent="0.25">
      <c r="B70" s="18" t="s">
        <v>46</v>
      </c>
      <c r="C70" s="30" t="s">
        <v>142</v>
      </c>
      <c r="D70" s="30" t="s">
        <v>212</v>
      </c>
      <c r="E70" s="30" t="s">
        <v>213</v>
      </c>
      <c r="F70" s="30" t="s">
        <v>121</v>
      </c>
      <c r="G70" s="31" t="s">
        <v>124</v>
      </c>
      <c r="H70" s="19" t="s">
        <v>140</v>
      </c>
      <c r="I70" s="19" t="s">
        <v>141</v>
      </c>
      <c r="J70" s="30" t="s">
        <v>142</v>
      </c>
      <c r="K70" s="19" t="s">
        <v>143</v>
      </c>
      <c r="L70" s="19" t="s">
        <v>86</v>
      </c>
    </row>
    <row r="71" spans="2:12" ht="18.75" x14ac:dyDescent="0.25">
      <c r="B71" s="17" t="s">
        <v>3</v>
      </c>
      <c r="C71" s="19" t="s">
        <v>210</v>
      </c>
      <c r="D71" s="19" t="s">
        <v>120</v>
      </c>
      <c r="E71" s="19" t="s">
        <v>211</v>
      </c>
      <c r="F71" s="19" t="s">
        <v>120</v>
      </c>
      <c r="G71" s="19" t="s">
        <v>125</v>
      </c>
      <c r="H71" s="19">
        <v>16</v>
      </c>
      <c r="I71" s="19" t="s">
        <v>137</v>
      </c>
      <c r="J71" s="19" t="s">
        <v>138</v>
      </c>
      <c r="K71" s="19" t="s">
        <v>139</v>
      </c>
      <c r="L71" s="19" t="s">
        <v>85</v>
      </c>
    </row>
    <row r="72" spans="2:12" ht="18.75" x14ac:dyDescent="0.25">
      <c r="B72" s="17" t="s">
        <v>4</v>
      </c>
      <c r="C72" s="19" t="s">
        <v>214</v>
      </c>
      <c r="D72" s="19" t="s">
        <v>215</v>
      </c>
      <c r="E72" s="19" t="s">
        <v>216</v>
      </c>
      <c r="F72" s="19">
        <v>1.1599999999999999</v>
      </c>
      <c r="G72" s="19" t="s">
        <v>126</v>
      </c>
      <c r="H72" s="19" t="s">
        <v>144</v>
      </c>
      <c r="I72" s="19" t="s">
        <v>145</v>
      </c>
      <c r="J72" s="19" t="s">
        <v>103</v>
      </c>
      <c r="K72" s="19" t="s">
        <v>146</v>
      </c>
      <c r="L72" s="19" t="s">
        <v>87</v>
      </c>
    </row>
    <row r="73" spans="2:12" ht="18.75" x14ac:dyDescent="0.25">
      <c r="B73" s="17" t="s">
        <v>5</v>
      </c>
      <c r="C73" s="19" t="s">
        <v>217</v>
      </c>
      <c r="D73" s="19" t="s">
        <v>218</v>
      </c>
      <c r="E73" s="19" t="s">
        <v>219</v>
      </c>
      <c r="F73" s="19">
        <v>0.52</v>
      </c>
      <c r="G73" s="19" t="s">
        <v>127</v>
      </c>
      <c r="H73" s="19" t="s">
        <v>147</v>
      </c>
      <c r="I73" s="19" t="s">
        <v>148</v>
      </c>
      <c r="J73" s="19" t="s">
        <v>149</v>
      </c>
      <c r="K73" s="19" t="s">
        <v>148</v>
      </c>
      <c r="L73" s="19" t="s">
        <v>88</v>
      </c>
    </row>
    <row r="74" spans="2:12" ht="18.75" x14ac:dyDescent="0.25">
      <c r="B74" s="17" t="s">
        <v>6</v>
      </c>
      <c r="C74" s="19" t="s">
        <v>220</v>
      </c>
      <c r="D74" s="19" t="s">
        <v>221</v>
      </c>
      <c r="E74" s="19" t="s">
        <v>146</v>
      </c>
      <c r="F74" s="19">
        <v>0.86</v>
      </c>
      <c r="G74" s="19" t="s">
        <v>128</v>
      </c>
      <c r="H74" s="19" t="s">
        <v>150</v>
      </c>
      <c r="I74" s="19" t="s">
        <v>151</v>
      </c>
      <c r="J74" s="19" t="s">
        <v>146</v>
      </c>
      <c r="K74" s="19" t="s">
        <v>152</v>
      </c>
      <c r="L74" s="19" t="s">
        <v>89</v>
      </c>
    </row>
    <row r="75" spans="2:12" ht="18.75" x14ac:dyDescent="0.25">
      <c r="B75" s="17" t="s">
        <v>8</v>
      </c>
      <c r="C75" s="19" t="s">
        <v>222</v>
      </c>
      <c r="D75" s="19" t="s">
        <v>144</v>
      </c>
      <c r="E75" s="19" t="s">
        <v>152</v>
      </c>
      <c r="F75" s="19">
        <v>0.78</v>
      </c>
      <c r="G75" s="19" t="s">
        <v>129</v>
      </c>
      <c r="H75" s="19" t="s">
        <v>153</v>
      </c>
      <c r="I75" s="19" t="s">
        <v>154</v>
      </c>
      <c r="J75" s="19" t="s">
        <v>155</v>
      </c>
      <c r="K75" s="19" t="s">
        <v>156</v>
      </c>
      <c r="L75" s="19" t="s">
        <v>90</v>
      </c>
    </row>
    <row r="76" spans="2:12" ht="18.75" x14ac:dyDescent="0.25">
      <c r="B76" s="17" t="s">
        <v>7</v>
      </c>
      <c r="C76" s="19" t="s">
        <v>223</v>
      </c>
      <c r="D76" s="19" t="s">
        <v>159</v>
      </c>
      <c r="E76" s="19" t="s">
        <v>160</v>
      </c>
      <c r="F76" s="19">
        <v>0.217</v>
      </c>
      <c r="G76" s="19" t="s">
        <v>130</v>
      </c>
      <c r="H76" s="19" t="s">
        <v>157</v>
      </c>
      <c r="I76" s="19" t="s">
        <v>158</v>
      </c>
      <c r="J76" s="19" t="s">
        <v>159</v>
      </c>
      <c r="K76" s="19" t="s">
        <v>160</v>
      </c>
      <c r="L76" s="19" t="s">
        <v>91</v>
      </c>
    </row>
    <row r="77" spans="2:12" ht="18.75" x14ac:dyDescent="0.25">
      <c r="B77" s="17" t="s">
        <v>10</v>
      </c>
      <c r="C77" s="19" t="s">
        <v>224</v>
      </c>
      <c r="D77" s="19" t="s">
        <v>225</v>
      </c>
      <c r="E77" s="19" t="s">
        <v>226</v>
      </c>
      <c r="F77" s="19" t="s">
        <v>92</v>
      </c>
      <c r="G77" s="19" t="s">
        <v>131</v>
      </c>
      <c r="H77" s="19" t="s">
        <v>161</v>
      </c>
      <c r="I77" s="19" t="s">
        <v>163</v>
      </c>
      <c r="J77" s="19" t="s">
        <v>164</v>
      </c>
      <c r="K77" s="19" t="s">
        <v>165</v>
      </c>
      <c r="L77" s="19" t="s">
        <v>92</v>
      </c>
    </row>
    <row r="78" spans="2:12" ht="18.75" x14ac:dyDescent="0.25">
      <c r="B78" s="17" t="s">
        <v>9</v>
      </c>
      <c r="C78" s="19" t="s">
        <v>93</v>
      </c>
      <c r="D78" s="19" t="s">
        <v>227</v>
      </c>
      <c r="E78" s="19" t="s">
        <v>167</v>
      </c>
      <c r="F78" s="19" t="s">
        <v>93</v>
      </c>
      <c r="G78" s="19" t="s">
        <v>132</v>
      </c>
      <c r="H78" s="19" t="s">
        <v>166</v>
      </c>
      <c r="I78" s="19" t="s">
        <v>132</v>
      </c>
      <c r="J78" s="19" t="s">
        <v>167</v>
      </c>
      <c r="K78" s="19" t="s">
        <v>168</v>
      </c>
      <c r="L78" s="19" t="s">
        <v>93</v>
      </c>
    </row>
    <row r="79" spans="2:12" ht="18.75" x14ac:dyDescent="0.25">
      <c r="B79" s="17" t="s">
        <v>11</v>
      </c>
      <c r="C79" s="19" t="s">
        <v>228</v>
      </c>
      <c r="D79" s="19" t="s">
        <v>229</v>
      </c>
      <c r="E79" s="19" t="s">
        <v>94</v>
      </c>
      <c r="F79" s="19" t="s">
        <v>94</v>
      </c>
      <c r="G79" s="19" t="s">
        <v>133</v>
      </c>
      <c r="H79" s="19">
        <v>0.15</v>
      </c>
      <c r="I79" s="19">
        <v>0.15</v>
      </c>
      <c r="J79" s="19" t="s">
        <v>160</v>
      </c>
      <c r="K79" s="19" t="s">
        <v>94</v>
      </c>
      <c r="L79" s="19" t="s">
        <v>94</v>
      </c>
    </row>
    <row r="80" spans="2:12" ht="18.75" x14ac:dyDescent="0.25">
      <c r="B80" s="17" t="s">
        <v>12</v>
      </c>
      <c r="C80" s="19" t="s">
        <v>231</v>
      </c>
      <c r="D80" s="19" t="s">
        <v>232</v>
      </c>
      <c r="E80" s="19" t="s">
        <v>233</v>
      </c>
      <c r="F80" s="19">
        <v>0.89</v>
      </c>
      <c r="G80" s="19">
        <v>0.85</v>
      </c>
      <c r="H80" s="19">
        <v>0.76</v>
      </c>
      <c r="I80" s="19">
        <v>0.73</v>
      </c>
      <c r="J80" s="19">
        <v>0.83</v>
      </c>
      <c r="K80" s="19">
        <v>0.79</v>
      </c>
      <c r="L80" s="19" t="s">
        <v>95</v>
      </c>
    </row>
    <row r="81" spans="2:12" ht="18.75" x14ac:dyDescent="0.25">
      <c r="B81" s="17" t="s">
        <v>40</v>
      </c>
      <c r="C81" s="19" t="s">
        <v>190</v>
      </c>
      <c r="D81" s="19" t="s">
        <v>228</v>
      </c>
      <c r="E81" s="19" t="s">
        <v>230</v>
      </c>
      <c r="F81" s="19" t="s">
        <v>95</v>
      </c>
      <c r="G81" s="19">
        <v>0.15</v>
      </c>
      <c r="H81" s="19">
        <v>0.14000000000000001</v>
      </c>
      <c r="I81" s="19">
        <v>0.14000000000000001</v>
      </c>
      <c r="J81" s="19" t="s">
        <v>94</v>
      </c>
      <c r="K81" s="19" t="s">
        <v>94</v>
      </c>
      <c r="L81" s="19" t="s">
        <v>95</v>
      </c>
    </row>
    <row r="82" spans="2:12" ht="18.75" x14ac:dyDescent="0.25">
      <c r="B82" s="17" t="s">
        <v>43</v>
      </c>
      <c r="C82" s="19" t="s">
        <v>234</v>
      </c>
      <c r="D82" s="19" t="s">
        <v>214</v>
      </c>
      <c r="E82" s="19" t="s">
        <v>235</v>
      </c>
      <c r="F82" s="19">
        <v>1.26</v>
      </c>
      <c r="G82" s="19">
        <v>1.18</v>
      </c>
      <c r="H82" s="19">
        <v>1.07</v>
      </c>
      <c r="I82" s="19">
        <v>1.02</v>
      </c>
      <c r="J82" s="19">
        <v>0.98</v>
      </c>
      <c r="K82" s="19">
        <v>0.86</v>
      </c>
      <c r="L82" s="19">
        <v>1.28</v>
      </c>
    </row>
    <row r="83" spans="2:12" ht="18.75" x14ac:dyDescent="0.25">
      <c r="B83" s="17" t="s">
        <v>13</v>
      </c>
      <c r="C83" s="19" t="s">
        <v>222</v>
      </c>
      <c r="D83" s="19" t="s">
        <v>236</v>
      </c>
      <c r="E83" s="19" t="s">
        <v>170</v>
      </c>
      <c r="F83" s="19">
        <v>0.83</v>
      </c>
      <c r="G83" s="19">
        <v>0.75</v>
      </c>
      <c r="H83" s="19">
        <v>0.6</v>
      </c>
      <c r="I83" s="19">
        <v>0.74</v>
      </c>
      <c r="J83" s="19" t="s">
        <v>169</v>
      </c>
      <c r="K83" s="19" t="s">
        <v>170</v>
      </c>
      <c r="L83" s="19" t="s">
        <v>103</v>
      </c>
    </row>
    <row r="84" spans="2:12" ht="18.75" x14ac:dyDescent="0.25">
      <c r="B84" s="17" t="s">
        <v>44</v>
      </c>
      <c r="C84" s="19" t="s">
        <v>237</v>
      </c>
      <c r="D84" s="19" t="s">
        <v>238</v>
      </c>
      <c r="E84" s="19" t="s">
        <v>239</v>
      </c>
      <c r="F84" s="19" t="s">
        <v>104</v>
      </c>
      <c r="G84" s="19" t="s">
        <v>173</v>
      </c>
      <c r="H84" s="19" t="s">
        <v>162</v>
      </c>
      <c r="I84" s="19" t="s">
        <v>162</v>
      </c>
      <c r="J84" s="19" t="s">
        <v>173</v>
      </c>
      <c r="K84" s="19" t="s">
        <v>173</v>
      </c>
      <c r="L84" s="19" t="s">
        <v>104</v>
      </c>
    </row>
    <row r="85" spans="2:12" ht="18.75" x14ac:dyDescent="0.25">
      <c r="B85" s="17" t="s">
        <v>14</v>
      </c>
      <c r="C85" s="19" t="s">
        <v>240</v>
      </c>
      <c r="D85" s="19" t="s">
        <v>241</v>
      </c>
      <c r="E85" s="19" t="s">
        <v>242</v>
      </c>
      <c r="F85" s="19" t="s">
        <v>122</v>
      </c>
      <c r="G85" s="19" t="s">
        <v>134</v>
      </c>
      <c r="H85" s="19">
        <v>1</v>
      </c>
      <c r="I85" s="19">
        <v>1</v>
      </c>
      <c r="J85" s="19" t="s">
        <v>171</v>
      </c>
      <c r="K85" s="19" t="s">
        <v>172</v>
      </c>
      <c r="L85" s="30" t="s">
        <v>118</v>
      </c>
    </row>
    <row r="86" spans="2:12" ht="18.75" x14ac:dyDescent="0.25">
      <c r="B86" s="17" t="s">
        <v>32</v>
      </c>
      <c r="C86" s="19" t="s">
        <v>105</v>
      </c>
      <c r="D86" s="19" t="s">
        <v>174</v>
      </c>
      <c r="E86" s="19" t="s">
        <v>243</v>
      </c>
      <c r="F86" s="19">
        <v>12000</v>
      </c>
      <c r="G86" s="19">
        <v>10000</v>
      </c>
      <c r="H86" s="19">
        <v>9000</v>
      </c>
      <c r="I86" s="19">
        <v>10000</v>
      </c>
      <c r="J86" s="19" t="s">
        <v>174</v>
      </c>
      <c r="K86" s="19" t="s">
        <v>177</v>
      </c>
      <c r="L86" s="19" t="s">
        <v>105</v>
      </c>
    </row>
    <row r="87" spans="2:12" ht="18.75" x14ac:dyDescent="0.25">
      <c r="B87" s="17" t="s">
        <v>25</v>
      </c>
      <c r="C87" s="19" t="s">
        <v>110</v>
      </c>
      <c r="D87" s="19" t="s">
        <v>244</v>
      </c>
      <c r="E87" s="19" t="s">
        <v>245</v>
      </c>
      <c r="F87" s="19">
        <v>2.5</v>
      </c>
      <c r="G87" s="19">
        <v>2</v>
      </c>
      <c r="H87" s="19">
        <v>1.5</v>
      </c>
      <c r="I87" s="19">
        <v>2</v>
      </c>
      <c r="J87" s="19" t="s">
        <v>175</v>
      </c>
      <c r="K87" s="19" t="s">
        <v>178</v>
      </c>
      <c r="L87" s="19" t="s">
        <v>106</v>
      </c>
    </row>
    <row r="88" spans="2:12" ht="18.75" x14ac:dyDescent="0.25">
      <c r="B88" s="17" t="s">
        <v>26</v>
      </c>
      <c r="C88" s="19" t="s">
        <v>246</v>
      </c>
      <c r="D88" s="19" t="s">
        <v>247</v>
      </c>
      <c r="E88" s="19" t="s">
        <v>248</v>
      </c>
      <c r="F88" s="19">
        <v>6</v>
      </c>
      <c r="G88" s="19">
        <v>5</v>
      </c>
      <c r="H88" s="19">
        <v>4</v>
      </c>
      <c r="I88" s="19">
        <v>5</v>
      </c>
      <c r="J88" s="19" t="s">
        <v>179</v>
      </c>
      <c r="K88" s="19" t="s">
        <v>180</v>
      </c>
      <c r="L88" s="30" t="s">
        <v>113</v>
      </c>
    </row>
    <row r="89" spans="2:12" ht="18.75" x14ac:dyDescent="0.25">
      <c r="B89" s="17" t="s">
        <v>27</v>
      </c>
      <c r="C89" s="19" t="s">
        <v>114</v>
      </c>
      <c r="D89" s="19" t="s">
        <v>194</v>
      </c>
      <c r="E89" s="19" t="s">
        <v>195</v>
      </c>
      <c r="F89" s="19">
        <v>4</v>
      </c>
      <c r="G89" s="19">
        <v>3</v>
      </c>
      <c r="H89" s="19">
        <v>2.5</v>
      </c>
      <c r="I89" s="19">
        <v>3</v>
      </c>
      <c r="J89" s="19" t="s">
        <v>194</v>
      </c>
      <c r="K89" s="30" t="s">
        <v>195</v>
      </c>
      <c r="L89" s="30" t="s">
        <v>114</v>
      </c>
    </row>
    <row r="90" spans="2:12" ht="18.75" x14ac:dyDescent="0.25">
      <c r="B90" s="17" t="s">
        <v>28</v>
      </c>
      <c r="C90" s="19" t="s">
        <v>107</v>
      </c>
      <c r="D90" s="19" t="s">
        <v>196</v>
      </c>
      <c r="E90" s="19" t="s">
        <v>197</v>
      </c>
      <c r="F90" s="19">
        <v>0.02</v>
      </c>
      <c r="G90" s="19">
        <v>1.4999999999999999E-2</v>
      </c>
      <c r="H90" s="19">
        <v>0.01</v>
      </c>
      <c r="I90" s="19">
        <v>1.4999999999999999E-2</v>
      </c>
      <c r="J90" s="19" t="s">
        <v>196</v>
      </c>
      <c r="K90" s="19" t="s">
        <v>197</v>
      </c>
      <c r="L90" s="19" t="s">
        <v>107</v>
      </c>
    </row>
    <row r="91" spans="2:12" ht="18.75" x14ac:dyDescent="0.25">
      <c r="B91" s="17" t="s">
        <v>30</v>
      </c>
      <c r="C91" s="19" t="s">
        <v>249</v>
      </c>
      <c r="D91" s="19" t="s">
        <v>250</v>
      </c>
      <c r="E91" s="19" t="s">
        <v>251</v>
      </c>
      <c r="F91" s="19">
        <v>3000</v>
      </c>
      <c r="G91" s="19">
        <v>2500</v>
      </c>
      <c r="H91" s="19">
        <v>2000</v>
      </c>
      <c r="I91" s="19">
        <v>3000</v>
      </c>
      <c r="J91" s="19" t="s">
        <v>108</v>
      </c>
      <c r="K91" s="19" t="s">
        <v>181</v>
      </c>
      <c r="L91" s="19" t="s">
        <v>108</v>
      </c>
    </row>
    <row r="92" spans="2:12" ht="18.75" x14ac:dyDescent="0.25">
      <c r="B92" s="17" t="s">
        <v>29</v>
      </c>
      <c r="C92" s="19" t="s">
        <v>96</v>
      </c>
      <c r="D92" s="19" t="s">
        <v>252</v>
      </c>
      <c r="E92" s="19" t="s">
        <v>253</v>
      </c>
      <c r="F92" s="19">
        <v>30</v>
      </c>
      <c r="G92" s="19">
        <v>20</v>
      </c>
      <c r="H92" s="19">
        <v>15</v>
      </c>
      <c r="I92" s="19">
        <v>25</v>
      </c>
      <c r="J92" s="19" t="s">
        <v>176</v>
      </c>
      <c r="K92" s="19" t="s">
        <v>182</v>
      </c>
      <c r="L92" s="19" t="s">
        <v>109</v>
      </c>
    </row>
    <row r="93" spans="2:12" ht="18.75" x14ac:dyDescent="0.25">
      <c r="B93" s="17" t="s">
        <v>31</v>
      </c>
      <c r="C93" s="19" t="s">
        <v>195</v>
      </c>
      <c r="D93" s="19" t="s">
        <v>106</v>
      </c>
      <c r="E93" s="19" t="s">
        <v>175</v>
      </c>
      <c r="F93" s="19">
        <v>3</v>
      </c>
      <c r="G93" s="19">
        <v>2.5</v>
      </c>
      <c r="H93" s="19">
        <v>2</v>
      </c>
      <c r="I93" s="19">
        <v>2.5</v>
      </c>
      <c r="J93" s="19" t="s">
        <v>106</v>
      </c>
      <c r="K93" s="19" t="s">
        <v>178</v>
      </c>
      <c r="L93" s="19" t="s">
        <v>110</v>
      </c>
    </row>
    <row r="94" spans="2:12" ht="18.75" x14ac:dyDescent="0.25">
      <c r="B94" s="17" t="s">
        <v>15</v>
      </c>
      <c r="C94" s="19" t="s">
        <v>111</v>
      </c>
      <c r="D94" s="19" t="s">
        <v>254</v>
      </c>
      <c r="E94" s="19" t="s">
        <v>184</v>
      </c>
      <c r="F94" s="19">
        <v>1300</v>
      </c>
      <c r="G94" s="19">
        <v>1100</v>
      </c>
      <c r="H94" s="19">
        <v>900</v>
      </c>
      <c r="I94" s="19">
        <v>1000</v>
      </c>
      <c r="J94" s="19" t="s">
        <v>183</v>
      </c>
      <c r="K94" s="19" t="s">
        <v>184</v>
      </c>
      <c r="L94" s="19" t="s">
        <v>111</v>
      </c>
    </row>
    <row r="95" spans="2:12" ht="18.75" x14ac:dyDescent="0.25">
      <c r="B95" s="17" t="s">
        <v>16</v>
      </c>
      <c r="C95" s="19" t="s">
        <v>255</v>
      </c>
      <c r="D95" s="19" t="s">
        <v>256</v>
      </c>
      <c r="E95" s="19" t="s">
        <v>257</v>
      </c>
      <c r="F95" s="19" t="s">
        <v>112</v>
      </c>
      <c r="G95" s="19">
        <v>0.8</v>
      </c>
      <c r="H95" s="19">
        <v>0.6</v>
      </c>
      <c r="I95" s="19">
        <v>0.8</v>
      </c>
      <c r="J95" s="19" t="s">
        <v>185</v>
      </c>
      <c r="K95" s="19" t="s">
        <v>104</v>
      </c>
      <c r="L95" s="19" t="s">
        <v>112</v>
      </c>
    </row>
    <row r="96" spans="2:12" ht="18.75" x14ac:dyDescent="0.25">
      <c r="B96" s="17" t="s">
        <v>24</v>
      </c>
      <c r="C96" s="19" t="s">
        <v>198</v>
      </c>
      <c r="D96" s="19" t="s">
        <v>96</v>
      </c>
      <c r="E96" s="19" t="s">
        <v>199</v>
      </c>
      <c r="F96" s="19">
        <v>40</v>
      </c>
      <c r="G96" s="19">
        <v>30</v>
      </c>
      <c r="H96" s="19">
        <v>25</v>
      </c>
      <c r="I96" s="28">
        <v>30</v>
      </c>
      <c r="J96" s="19" t="s">
        <v>186</v>
      </c>
      <c r="K96" s="19" t="s">
        <v>109</v>
      </c>
      <c r="L96" s="19" t="s">
        <v>96</v>
      </c>
    </row>
    <row r="97" spans="2:12" ht="18.75" x14ac:dyDescent="0.25">
      <c r="B97" s="17" t="s">
        <v>20</v>
      </c>
      <c r="C97" s="30" t="s">
        <v>200</v>
      </c>
      <c r="D97" s="30" t="s">
        <v>115</v>
      </c>
      <c r="E97" s="30" t="s">
        <v>193</v>
      </c>
      <c r="F97" s="19">
        <v>12</v>
      </c>
      <c r="G97" s="19">
        <v>10</v>
      </c>
      <c r="H97" s="19">
        <v>8</v>
      </c>
      <c r="I97" s="28">
        <v>10</v>
      </c>
      <c r="J97" s="30" t="s">
        <v>193</v>
      </c>
      <c r="K97" s="30" t="s">
        <v>116</v>
      </c>
      <c r="L97" s="30" t="s">
        <v>115</v>
      </c>
    </row>
    <row r="98" spans="2:12" ht="18.75" x14ac:dyDescent="0.25">
      <c r="B98" s="17" t="s">
        <v>21</v>
      </c>
      <c r="C98" s="19" t="s">
        <v>201</v>
      </c>
      <c r="D98" s="19" t="s">
        <v>97</v>
      </c>
      <c r="E98" s="19" t="s">
        <v>97</v>
      </c>
      <c r="F98" s="19">
        <v>80</v>
      </c>
      <c r="G98" s="19">
        <v>70</v>
      </c>
      <c r="H98" s="19">
        <v>60</v>
      </c>
      <c r="I98" s="28">
        <v>80</v>
      </c>
      <c r="J98" s="19" t="s">
        <v>97</v>
      </c>
      <c r="K98" s="19" t="s">
        <v>97</v>
      </c>
      <c r="L98" s="19" t="s">
        <v>97</v>
      </c>
    </row>
    <row r="99" spans="2:12" ht="18.75" x14ac:dyDescent="0.25">
      <c r="B99" s="17" t="s">
        <v>22</v>
      </c>
      <c r="C99" s="19" t="s">
        <v>97</v>
      </c>
      <c r="D99" s="19" t="s">
        <v>202</v>
      </c>
      <c r="E99" s="19" t="s">
        <v>99</v>
      </c>
      <c r="F99" s="19">
        <v>70</v>
      </c>
      <c r="G99" s="19">
        <v>60</v>
      </c>
      <c r="H99" s="19">
        <v>50</v>
      </c>
      <c r="I99" s="28">
        <v>60</v>
      </c>
      <c r="J99" s="19" t="s">
        <v>99</v>
      </c>
      <c r="K99" s="19" t="s">
        <v>187</v>
      </c>
      <c r="L99" s="19" t="s">
        <v>98</v>
      </c>
    </row>
    <row r="100" spans="2:12" ht="18.75" x14ac:dyDescent="0.25">
      <c r="B100" s="17" t="s">
        <v>23</v>
      </c>
      <c r="C100" s="19" t="s">
        <v>206</v>
      </c>
      <c r="D100" s="19" t="s">
        <v>116</v>
      </c>
      <c r="E100" s="19" t="s">
        <v>113</v>
      </c>
      <c r="F100" s="19">
        <v>8</v>
      </c>
      <c r="G100" s="19">
        <v>8</v>
      </c>
      <c r="H100" s="19">
        <v>6</v>
      </c>
      <c r="I100" s="28">
        <v>8</v>
      </c>
      <c r="J100" s="30" t="s">
        <v>116</v>
      </c>
      <c r="K100" s="30" t="s">
        <v>113</v>
      </c>
      <c r="L100" s="30" t="s">
        <v>116</v>
      </c>
    </row>
    <row r="101" spans="2:12" ht="18.75" x14ac:dyDescent="0.25">
      <c r="B101" s="17" t="s">
        <v>17</v>
      </c>
      <c r="C101" s="19" t="s">
        <v>97</v>
      </c>
      <c r="D101" s="19" t="s">
        <v>99</v>
      </c>
      <c r="E101" s="19" t="s">
        <v>198</v>
      </c>
      <c r="F101" s="19">
        <v>60</v>
      </c>
      <c r="G101" s="19">
        <v>60</v>
      </c>
      <c r="H101" s="19">
        <v>50</v>
      </c>
      <c r="I101" s="28">
        <v>60</v>
      </c>
      <c r="J101" s="19" t="s">
        <v>99</v>
      </c>
      <c r="K101" s="19" t="s">
        <v>188</v>
      </c>
      <c r="L101" s="19" t="s">
        <v>99</v>
      </c>
    </row>
    <row r="102" spans="2:12" ht="18.75" x14ac:dyDescent="0.25">
      <c r="B102" s="17" t="s">
        <v>18</v>
      </c>
      <c r="C102" s="19" t="s">
        <v>203</v>
      </c>
      <c r="D102" s="19" t="s">
        <v>100</v>
      </c>
      <c r="E102" s="19" t="s">
        <v>189</v>
      </c>
      <c r="F102" s="19">
        <v>1</v>
      </c>
      <c r="G102" s="28">
        <v>0.8</v>
      </c>
      <c r="H102" s="28">
        <v>0.6</v>
      </c>
      <c r="I102" s="28">
        <v>0.8</v>
      </c>
      <c r="J102" s="19" t="s">
        <v>185</v>
      </c>
      <c r="K102" s="19" t="s">
        <v>189</v>
      </c>
      <c r="L102" s="19" t="s">
        <v>100</v>
      </c>
    </row>
    <row r="103" spans="2:12" ht="18.75" x14ac:dyDescent="0.25">
      <c r="B103" s="17" t="s">
        <v>19</v>
      </c>
      <c r="C103" s="19" t="s">
        <v>204</v>
      </c>
      <c r="D103" s="19" t="s">
        <v>101</v>
      </c>
      <c r="E103" s="19" t="s">
        <v>192</v>
      </c>
      <c r="F103" s="28">
        <v>0.25</v>
      </c>
      <c r="G103" s="28">
        <v>0.2</v>
      </c>
      <c r="H103" s="28">
        <v>0.15</v>
      </c>
      <c r="I103" s="28">
        <v>0.2</v>
      </c>
      <c r="J103" s="19" t="s">
        <v>101</v>
      </c>
      <c r="K103" s="19" t="s">
        <v>190</v>
      </c>
      <c r="L103" s="19" t="s">
        <v>101</v>
      </c>
    </row>
    <row r="104" spans="2:12" ht="18.75" x14ac:dyDescent="0.25">
      <c r="B104" s="17" t="s">
        <v>48</v>
      </c>
      <c r="C104" s="19" t="s">
        <v>102</v>
      </c>
      <c r="D104" s="19" t="s">
        <v>205</v>
      </c>
      <c r="E104" s="19" t="s">
        <v>192</v>
      </c>
      <c r="F104" s="28">
        <v>0.3</v>
      </c>
      <c r="G104" s="28">
        <v>0.25</v>
      </c>
      <c r="H104" s="28">
        <v>0.2</v>
      </c>
      <c r="I104" s="28">
        <v>0.25</v>
      </c>
      <c r="J104" s="19" t="s">
        <v>191</v>
      </c>
      <c r="K104" s="19" t="s">
        <v>192</v>
      </c>
      <c r="L104" s="19" t="s">
        <v>102</v>
      </c>
    </row>
  </sheetData>
  <mergeCells count="1">
    <mergeCell ref="A1:B1"/>
  </mergeCells>
  <pageMargins left="0.7" right="0.7" top="0.75" bottom="0.75" header="0.3" footer="0.3"/>
  <ignoredErrors>
    <ignoredError sqref="L97 D9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Formular</vt:lpstr>
      <vt:lpstr>Base_bromato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Nicaise DJAGOUN</dc:creator>
  <cp:lastModifiedBy>HP</cp:lastModifiedBy>
  <dcterms:created xsi:type="dcterms:W3CDTF">2024-04-06T06:26:08Z</dcterms:created>
  <dcterms:modified xsi:type="dcterms:W3CDTF">2026-10-12T16:01:12Z</dcterms:modified>
</cp:coreProperties>
</file>